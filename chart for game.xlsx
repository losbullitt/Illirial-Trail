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Illirial-Trail/"/>
    </mc:Choice>
  </mc:AlternateContent>
  <xr:revisionPtr revIDLastSave="0" documentId="13_ncr:1_{90811998-A27E-CC44-B392-9255142E0C66}" xr6:coauthVersionLast="47" xr6:coauthVersionMax="47" xr10:uidLastSave="{00000000-0000-0000-0000-000000000000}"/>
  <bookViews>
    <workbookView xWindow="920" yWindow="1540" windowWidth="25460" windowHeight="16680" xr2:uid="{F86F549B-5A31-4F42-A680-6D6C856460C8}"/>
  </bookViews>
  <sheets>
    <sheet name="weapons" sheetId="1" r:id="rId1"/>
    <sheet name="Abilities" sheetId="11" r:id="rId2"/>
    <sheet name="Exotic Weapons" sheetId="9" r:id="rId3"/>
    <sheet name="mobs" sheetId="2" r:id="rId4"/>
    <sheet name="Armor" sheetId="10" r:id="rId5"/>
    <sheet name="leveling" sheetId="3" r:id="rId6"/>
    <sheet name="level testing" sheetId="4" r:id="rId7"/>
    <sheet name="alpha level to 20" sheetId="5" r:id="rId8"/>
    <sheet name="Stat gains per class" sheetId="6" r:id="rId9"/>
    <sheet name="Names" sheetId="7" r:id="rId10"/>
    <sheet name="Gems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1" l="1"/>
  <c r="E21" i="11"/>
  <c r="E7" i="11"/>
  <c r="E5" i="11"/>
  <c r="E4" i="11"/>
  <c r="B5" i="5"/>
  <c r="B6" i="5" s="1"/>
  <c r="C4" i="5"/>
  <c r="B4" i="5"/>
  <c r="B3" i="5"/>
  <c r="C3" i="5" s="1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  <c r="C5" i="5" l="1"/>
  <c r="B7" i="5"/>
  <c r="C6" i="5" l="1"/>
  <c r="B8" i="5"/>
  <c r="C7" i="5" l="1"/>
  <c r="B9" i="5"/>
  <c r="C8" i="5" l="1"/>
  <c r="B10" i="5"/>
  <c r="C9" i="5" l="1"/>
  <c r="B11" i="5"/>
  <c r="C10" i="5" l="1"/>
  <c r="B12" i="5"/>
  <c r="C11" i="5" l="1"/>
  <c r="B13" i="5"/>
  <c r="B14" i="5" l="1"/>
  <c r="C12" i="5"/>
  <c r="B15" i="5" l="1"/>
  <c r="C13" i="5"/>
  <c r="C14" i="5" l="1"/>
  <c r="B16" i="5"/>
  <c r="C15" i="5" l="1"/>
  <c r="B17" i="5"/>
  <c r="C16" i="5" l="1"/>
  <c r="B18" i="5"/>
  <c r="C17" i="5" l="1"/>
  <c r="B19" i="5"/>
  <c r="C18" i="5" l="1"/>
  <c r="B20" i="5"/>
  <c r="C19" i="5" l="1"/>
  <c r="B21" i="5"/>
  <c r="C20" i="5" l="1"/>
  <c r="B22" i="5"/>
  <c r="C2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</author>
  </authors>
  <commentList>
    <comment ref="E4" authorId="0" shapeId="0" xr:uid="{8E8AEE0B-34E2-9F49-8B27-E5D070A52EC9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7
</t>
        </r>
        <r>
          <rPr>
            <sz val="10"/>
            <color rgb="FF000000"/>
            <rFont val="Tahoma"/>
            <family val="2"/>
          </rPr>
          <t xml:space="preserve">based on lvl 1 stat
</t>
        </r>
      </text>
    </comment>
    <comment ref="E5" authorId="0" shapeId="0" xr:uid="{9773E435-03EF-3D44-9E86-586CD83B3C23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12, based on how much you would have at level 5. 
</t>
        </r>
      </text>
    </comment>
    <comment ref="E7" authorId="0" shapeId="0" xr:uid="{56A1089A-26E3-AE42-9D04-1ADFCE7475CD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7, luck = 4
</t>
        </r>
      </text>
    </comment>
  </commentList>
</comments>
</file>

<file path=xl/sharedStrings.xml><?xml version="1.0" encoding="utf-8"?>
<sst xmlns="http://schemas.openxmlformats.org/spreadsheetml/2006/main" count="1591" uniqueCount="1182">
  <si>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</si>
  <si>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</si>
  <si>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</si>
  <si>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</si>
  <si>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</si>
  <si>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</si>
  <si>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</si>
  <si>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</si>
  <si>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</si>
  <si>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</si>
  <si>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</si>
  <si>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</si>
  <si>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</si>
  <si>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</si>
  <si>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</si>
  <si>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</si>
  <si>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</si>
  <si>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</si>
  <si>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</si>
  <si>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</si>
  <si>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</si>
  <si>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</si>
  <si>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</si>
  <si>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</si>
  <si>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</si>
  <si>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</si>
  <si>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</si>
  <si>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</si>
  <si>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</si>
  <si>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</si>
  <si>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</si>
  <si>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</si>
  <si>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</si>
  <si>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</si>
  <si>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</si>
  <si>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</si>
  <si>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</si>
  <si>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</si>
  <si>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</si>
  <si>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</si>
  <si>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</si>
  <si>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</si>
  <si>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</si>
  <si>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</si>
  <si>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</si>
  <si>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</si>
  <si>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</si>
  <si>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</si>
  <si>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</si>
  <si>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</si>
  <si>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</si>
  <si>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</si>
  <si>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</si>
  <si>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</si>
  <si>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</si>
  <si>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</si>
  <si>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</si>
  <si>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</si>
  <si>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</si>
  <si>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</si>
  <si>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</si>
  <si>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</si>
  <si>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</si>
  <si>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</si>
  <si>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</si>
  <si>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</si>
  <si>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</si>
  <si>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</si>
  <si>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</si>
  <si>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</si>
  <si>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</si>
  <si>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</si>
  <si>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</si>
  <si>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</si>
  <si>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</si>
  <si>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</si>
  <si>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</si>
  <si>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</si>
  <si>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</si>
  <si>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</si>
  <si>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</si>
  <si>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</si>
  <si>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</si>
  <si>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</si>
  <si>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</si>
  <si>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</si>
  <si>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</si>
  <si>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</si>
  <si>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</si>
  <si>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</si>
  <si>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</si>
  <si>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</si>
  <si>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</si>
  <si>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</si>
  <si>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</si>
  <si>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</si>
  <si>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</si>
  <si>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</si>
  <si>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</si>
  <si>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</si>
  <si>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</si>
  <si>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</si>
  <si>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</si>
  <si>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</si>
  <si>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</si>
  <si>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</si>
  <si>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</si>
  <si>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</si>
  <si>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</si>
  <si>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</si>
  <si>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</si>
  <si>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</si>
  <si>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</si>
  <si>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</si>
  <si>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</si>
  <si>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</si>
  <si>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</si>
  <si>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</si>
  <si>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</si>
  <si>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</si>
  <si>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</si>
  <si>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</si>
  <si>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</si>
  <si>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</si>
  <si>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</si>
  <si>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</si>
  <si>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</si>
  <si>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</si>
  <si>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</si>
  <si>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</si>
  <si>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</si>
  <si>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</si>
  <si>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</si>
  <si>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</si>
  <si>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</si>
  <si>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</si>
  <si>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</si>
  <si>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</si>
  <si>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</si>
  <si>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</si>
  <si>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</si>
  <si>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</si>
  <si>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</si>
  <si>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</si>
  <si>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</si>
  <si>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</si>
  <si>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</si>
  <si>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</si>
  <si>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</si>
  <si>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</si>
  <si>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</si>
  <si>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</si>
  <si>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</si>
  <si>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</si>
  <si>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</si>
  <si>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</si>
  <si>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</si>
  <si>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</si>
  <si>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</si>
  <si>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</si>
  <si>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</si>
  <si>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</si>
  <si>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</si>
  <si>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</si>
  <si>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</si>
  <si>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</si>
  <si>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</si>
  <si>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</si>
  <si>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</si>
  <si>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</si>
  <si>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</si>
  <si>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</si>
  <si>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</si>
  <si>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</si>
  <si>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</si>
  <si>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</si>
  <si>
    <t xml:space="preserve">lvl </t>
  </si>
  <si>
    <t xml:space="preserve">levels work for the alpha build as a way to differentiate the enemies and their loot table. </t>
  </si>
  <si>
    <t xml:space="preserve">lvl 1 </t>
  </si>
  <si>
    <t>XP</t>
  </si>
  <si>
    <t>lv 2</t>
  </si>
  <si>
    <t>lvl 3</t>
  </si>
  <si>
    <t>XP, Gold, &lt; RNG(.05) loot</t>
  </si>
  <si>
    <t>XP, Gold, &lt; RNG(.3) loot</t>
  </si>
  <si>
    <t>Level scaling 1-20</t>
  </si>
  <si>
    <t xml:space="preserve">level  </t>
  </si>
  <si>
    <t>xp to next level</t>
  </si>
  <si>
    <t>soldier</t>
  </si>
  <si>
    <t>merchant</t>
  </si>
  <si>
    <t>artisan</t>
  </si>
  <si>
    <t>mercenary</t>
  </si>
  <si>
    <t>per level gain</t>
  </si>
  <si>
    <t>Strength</t>
  </si>
  <si>
    <t>Intelligence</t>
  </si>
  <si>
    <t>Stamina</t>
  </si>
  <si>
    <t>rng(3)</t>
  </si>
  <si>
    <t>rng(1)</t>
  </si>
  <si>
    <t>rng(2)</t>
  </si>
  <si>
    <t>1 int = rng(10) mp until lvl 10, then rng(20) until level 20. 1 int = .5 magic dmg until lvl 10, then 1 until level 20</t>
  </si>
  <si>
    <t xml:space="preserve">1 stam = rng(3) hp until level 10, then rng(6) until lvl 20. </t>
  </si>
  <si>
    <t xml:space="preserve">1 str = 1 atk to lvl 10, then 2 until level 20. </t>
  </si>
  <si>
    <t>rng(4)</t>
  </si>
  <si>
    <t>Crit</t>
  </si>
  <si>
    <t>1 luck = .01% crit. Crit is 200% damage.</t>
  </si>
  <si>
    <t>Names</t>
  </si>
  <si>
    <t>Male</t>
  </si>
  <si>
    <t>Female</t>
  </si>
  <si>
    <t>Last Name</t>
  </si>
  <si>
    <t>Mateus</t>
  </si>
  <si>
    <t>Aramar</t>
  </si>
  <si>
    <t>Aendather</t>
  </si>
  <si>
    <t>Ben</t>
  </si>
  <si>
    <t>Ander</t>
  </si>
  <si>
    <t>Alexander</t>
  </si>
  <si>
    <t>Grace</t>
  </si>
  <si>
    <t>Evelyn</t>
  </si>
  <si>
    <t>Allura</t>
  </si>
  <si>
    <t>Amanda</t>
  </si>
  <si>
    <t>Aurelia</t>
  </si>
  <si>
    <t>Amelia</t>
  </si>
  <si>
    <t>Emileigh</t>
  </si>
  <si>
    <t>Alyene</t>
  </si>
  <si>
    <t>Anderson</t>
  </si>
  <si>
    <t xml:space="preserve">Anders </t>
  </si>
  <si>
    <t>Beth</t>
  </si>
  <si>
    <t>Belynda</t>
  </si>
  <si>
    <t>Bianca</t>
  </si>
  <si>
    <t>Catherine</t>
  </si>
  <si>
    <t>Carla</t>
  </si>
  <si>
    <t>Elizabeth</t>
  </si>
  <si>
    <t>Elisha</t>
  </si>
  <si>
    <t xml:space="preserve">Eliza </t>
  </si>
  <si>
    <t>Eris</t>
  </si>
  <si>
    <t>Aerie</t>
  </si>
  <si>
    <t>Zelda</t>
  </si>
  <si>
    <t>Fiona</t>
  </si>
  <si>
    <t>Ryona</t>
  </si>
  <si>
    <t>Helene</t>
  </si>
  <si>
    <t>Helena</t>
  </si>
  <si>
    <t>India</t>
  </si>
  <si>
    <t>Jacqueline</t>
  </si>
  <si>
    <t>Brian</t>
  </si>
  <si>
    <t>Bryan</t>
  </si>
  <si>
    <t>Brandon</t>
  </si>
  <si>
    <t>Brayden</t>
  </si>
  <si>
    <t>Brocca</t>
  </si>
  <si>
    <t>Benjamin</t>
  </si>
  <si>
    <t>Benni</t>
  </si>
  <si>
    <t>Chalice</t>
  </si>
  <si>
    <t>Desinty</t>
  </si>
  <si>
    <t>Desmond</t>
  </si>
  <si>
    <t>Derrick</t>
  </si>
  <si>
    <t>Deryk</t>
  </si>
  <si>
    <t>Dionysus</t>
  </si>
  <si>
    <t>Erik</t>
  </si>
  <si>
    <t>Eric</t>
  </si>
  <si>
    <t>Erica</t>
  </si>
  <si>
    <t>Jessica</t>
  </si>
  <si>
    <t>Jessie</t>
  </si>
  <si>
    <t>Jeryca</t>
  </si>
  <si>
    <t>John</t>
  </si>
  <si>
    <t>Jon</t>
  </si>
  <si>
    <t>Jonathan</t>
  </si>
  <si>
    <t>Jonathon</t>
  </si>
  <si>
    <t>Jeremiah</t>
  </si>
  <si>
    <t>Jericho</t>
  </si>
  <si>
    <t>Lamont</t>
  </si>
  <si>
    <t>Layton</t>
  </si>
  <si>
    <t>Luke</t>
  </si>
  <si>
    <t>Liam</t>
  </si>
  <si>
    <t>Kimberly</t>
  </si>
  <si>
    <t>Kathryn</t>
  </si>
  <si>
    <t>Lisa</t>
  </si>
  <si>
    <t>Liz</t>
  </si>
  <si>
    <t>Martha</t>
  </si>
  <si>
    <t>Mary</t>
  </si>
  <si>
    <t>Mandy</t>
  </si>
  <si>
    <t>Nicole</t>
  </si>
  <si>
    <t>Nicola</t>
  </si>
  <si>
    <t>Michelle</t>
  </si>
  <si>
    <t>Michael</t>
  </si>
  <si>
    <t>Mick</t>
  </si>
  <si>
    <t>Michel</t>
  </si>
  <si>
    <t>Hikaru</t>
  </si>
  <si>
    <t>Isamu</t>
  </si>
  <si>
    <t>Hibiki</t>
  </si>
  <si>
    <t>Nichelle</t>
  </si>
  <si>
    <t>Ophilia</t>
  </si>
  <si>
    <t>Pamela</t>
  </si>
  <si>
    <t>Rosa</t>
  </si>
  <si>
    <t>Rosalinda</t>
  </si>
  <si>
    <t>Rachel</t>
  </si>
  <si>
    <t>Rachelle</t>
  </si>
  <si>
    <t>Samantha</t>
  </si>
  <si>
    <t>Sandra</t>
  </si>
  <si>
    <t>Sadie</t>
  </si>
  <si>
    <t>Terri</t>
  </si>
  <si>
    <t>Uelda</t>
  </si>
  <si>
    <t>Viera</t>
  </si>
  <si>
    <t>Ilsa</t>
  </si>
  <si>
    <t>Iliana</t>
  </si>
  <si>
    <t>Jean</t>
  </si>
  <si>
    <t>William</t>
  </si>
  <si>
    <t>Jeordy</t>
  </si>
  <si>
    <t>Austin</t>
  </si>
  <si>
    <t>Bradley</t>
  </si>
  <si>
    <t xml:space="preserve">Brad </t>
  </si>
  <si>
    <t>James</t>
  </si>
  <si>
    <t>Jamison</t>
  </si>
  <si>
    <t>Cortney</t>
  </si>
  <si>
    <t>Courtney</t>
  </si>
  <si>
    <t>Kortney</t>
  </si>
  <si>
    <t>Lewis</t>
  </si>
  <si>
    <t>Louis</t>
  </si>
  <si>
    <t>Maximillian</t>
  </si>
  <si>
    <t>Joseph</t>
  </si>
  <si>
    <t>Jesus</t>
  </si>
  <si>
    <t>Josephine</t>
  </si>
  <si>
    <t>Jerome</t>
  </si>
  <si>
    <t>Yeltsa</t>
  </si>
  <si>
    <t>Madaline</t>
  </si>
  <si>
    <t>Lawrence</t>
  </si>
  <si>
    <t>Matthew</t>
  </si>
  <si>
    <t>Matty</t>
  </si>
  <si>
    <t>Mitchell</t>
  </si>
  <si>
    <t>Norman</t>
  </si>
  <si>
    <t>Norelis</t>
  </si>
  <si>
    <t>Mariah</t>
  </si>
  <si>
    <t>Meredith</t>
  </si>
  <si>
    <t>Merry</t>
  </si>
  <si>
    <t>Noah</t>
  </si>
  <si>
    <t>Nicodemus</t>
  </si>
  <si>
    <t>Bartholemew</t>
  </si>
  <si>
    <t>Francois</t>
  </si>
  <si>
    <t>Aitor</t>
  </si>
  <si>
    <t>Inigo</t>
  </si>
  <si>
    <t>George</t>
  </si>
  <si>
    <t>Unai</t>
  </si>
  <si>
    <t>Asier</t>
  </si>
  <si>
    <t>Xabier</t>
  </si>
  <si>
    <t>Benat</t>
  </si>
  <si>
    <t>Iker</t>
  </si>
  <si>
    <t>Amaiur</t>
  </si>
  <si>
    <t>Annabeth</t>
  </si>
  <si>
    <t>Anne</t>
  </si>
  <si>
    <t>Amaia</t>
  </si>
  <si>
    <t>Nahia</t>
  </si>
  <si>
    <t>Irati</t>
  </si>
  <si>
    <t>Leire</t>
  </si>
  <si>
    <t>Itxaso</t>
  </si>
  <si>
    <t>Oihana</t>
  </si>
  <si>
    <t>Gender Neutral</t>
  </si>
  <si>
    <t>Aritz</t>
  </si>
  <si>
    <t>Haizea</t>
  </si>
  <si>
    <t>Ilun</t>
  </si>
  <si>
    <t>Izar</t>
  </si>
  <si>
    <t>Lur</t>
  </si>
  <si>
    <t>Odei</t>
  </si>
  <si>
    <t>Zilar</t>
  </si>
  <si>
    <t>Zuri</t>
  </si>
  <si>
    <t>Arin</t>
  </si>
  <si>
    <t>Eder</t>
  </si>
  <si>
    <t>Ender</t>
  </si>
  <si>
    <t>Antti</t>
  </si>
  <si>
    <t>Heikki</t>
  </si>
  <si>
    <t>Tuomas</t>
  </si>
  <si>
    <t>Juhani</t>
  </si>
  <si>
    <t>Eero</t>
  </si>
  <si>
    <t>Kaleva</t>
  </si>
  <si>
    <t>Kevin</t>
  </si>
  <si>
    <t>Kelvin</t>
  </si>
  <si>
    <t>Oskar</t>
  </si>
  <si>
    <t>Akseli</t>
  </si>
  <si>
    <t>Kaisa</t>
  </si>
  <si>
    <t>Eva</t>
  </si>
  <si>
    <t xml:space="preserve">Eve </t>
  </si>
  <si>
    <t>Sarah</t>
  </si>
  <si>
    <t xml:space="preserve">Sara </t>
  </si>
  <si>
    <t>Riika</t>
  </si>
  <si>
    <t>Annika</t>
  </si>
  <si>
    <t>Sami</t>
  </si>
  <si>
    <t>Auri</t>
  </si>
  <si>
    <t>Ilma</t>
  </si>
  <si>
    <t>Lumi</t>
  </si>
  <si>
    <t>Sisu</t>
  </si>
  <si>
    <t>Taika</t>
  </si>
  <si>
    <t>Valo</t>
  </si>
  <si>
    <t>Johan</t>
  </si>
  <si>
    <t>Karl</t>
  </si>
  <si>
    <t>Gustav</t>
  </si>
  <si>
    <t>Lars</t>
  </si>
  <si>
    <t>Henrik</t>
  </si>
  <si>
    <t>Viktor</t>
  </si>
  <si>
    <t>Sven</t>
  </si>
  <si>
    <t>Bjorn</t>
  </si>
  <si>
    <t>Ingrid</t>
  </si>
  <si>
    <t>Astrid</t>
  </si>
  <si>
    <t>Freja</t>
  </si>
  <si>
    <t>Linnea</t>
  </si>
  <si>
    <t>Karin</t>
  </si>
  <si>
    <t>Sofia</t>
  </si>
  <si>
    <t>Maja</t>
  </si>
  <si>
    <t>Lovisa</t>
  </si>
  <si>
    <t>Robin</t>
  </si>
  <si>
    <t>Sascha</t>
  </si>
  <si>
    <t>Noel</t>
  </si>
  <si>
    <t>Vidar</t>
  </si>
  <si>
    <t>Tove</t>
  </si>
  <si>
    <t>Ivan</t>
  </si>
  <si>
    <t>Dimitry</t>
  </si>
  <si>
    <t>Sergei</t>
  </si>
  <si>
    <t>Alexei</t>
  </si>
  <si>
    <t>Yuri</t>
  </si>
  <si>
    <t>Fryodor</t>
  </si>
  <si>
    <t>Boris</t>
  </si>
  <si>
    <t>Vladimir</t>
  </si>
  <si>
    <t>Natalya</t>
  </si>
  <si>
    <t>Iriana</t>
  </si>
  <si>
    <t>Irina</t>
  </si>
  <si>
    <t>Sasha</t>
  </si>
  <si>
    <t>Zhenya</t>
  </si>
  <si>
    <t>Valya</t>
  </si>
  <si>
    <t>Vasya</t>
  </si>
  <si>
    <t>Lesha</t>
  </si>
  <si>
    <t>Haruto</t>
  </si>
  <si>
    <t>Ren</t>
  </si>
  <si>
    <t>Sora</t>
  </si>
  <si>
    <t>Daichi</t>
  </si>
  <si>
    <t>Takumi</t>
  </si>
  <si>
    <t>Kaito</t>
  </si>
  <si>
    <t>Riku</t>
  </si>
  <si>
    <t>Shenji</t>
  </si>
  <si>
    <t>Nobuo</t>
  </si>
  <si>
    <t>Oda</t>
  </si>
  <si>
    <t>Nobunaga</t>
  </si>
  <si>
    <t>Shingen</t>
  </si>
  <si>
    <t>Yamamoto</t>
  </si>
  <si>
    <t>Yamato</t>
  </si>
  <si>
    <t>Takeshi</t>
  </si>
  <si>
    <t>Hiroshi</t>
  </si>
  <si>
    <t>Hiriyoshi</t>
  </si>
  <si>
    <t>Aiko</t>
  </si>
  <si>
    <t>Yui</t>
  </si>
  <si>
    <t>Hana</t>
  </si>
  <si>
    <t>Sakura</t>
  </si>
  <si>
    <t>Kirito</t>
  </si>
  <si>
    <t>Miyu</t>
  </si>
  <si>
    <t>Haruka</t>
  </si>
  <si>
    <t>Rei</t>
  </si>
  <si>
    <t>Ayaka</t>
  </si>
  <si>
    <t>Nanami</t>
  </si>
  <si>
    <t>Keiko</t>
  </si>
  <si>
    <t>Haru</t>
  </si>
  <si>
    <t>Akira</t>
  </si>
  <si>
    <t>Makoto</t>
  </si>
  <si>
    <t>Kaoru</t>
  </si>
  <si>
    <t>Minori</t>
  </si>
  <si>
    <t>Nao</t>
  </si>
  <si>
    <t>Yuki</t>
  </si>
  <si>
    <t>Itsuki</t>
  </si>
  <si>
    <t>Aoi</t>
  </si>
  <si>
    <t>Min-jun</t>
  </si>
  <si>
    <t>Hyun-woo</t>
  </si>
  <si>
    <t>Seung-hyun</t>
  </si>
  <si>
    <t>Jae-hyun</t>
  </si>
  <si>
    <t>Dong-hyun</t>
  </si>
  <si>
    <t>Tae-yang</t>
  </si>
  <si>
    <t>Gun-woo</t>
  </si>
  <si>
    <t>Yong-su</t>
  </si>
  <si>
    <t>Byung-ho</t>
  </si>
  <si>
    <t>Jeung-gee</t>
  </si>
  <si>
    <t>Cho-Chan</t>
  </si>
  <si>
    <t>Seo-yeon</t>
  </si>
  <si>
    <t>Ji-eun</t>
  </si>
  <si>
    <t>Han-neul</t>
  </si>
  <si>
    <t>Jin-hee</t>
  </si>
  <si>
    <t>Soo-jin</t>
  </si>
  <si>
    <t>Min-seo</t>
  </si>
  <si>
    <t>Ara</t>
  </si>
  <si>
    <t>Yeon-woo</t>
  </si>
  <si>
    <t>Bo-Kyung</t>
  </si>
  <si>
    <t>Da-hye</t>
  </si>
  <si>
    <t>Jin</t>
  </si>
  <si>
    <t>Yu-jin</t>
  </si>
  <si>
    <t>Jae-min</t>
  </si>
  <si>
    <t>Si-woo</t>
  </si>
  <si>
    <t>Do-hyun</t>
  </si>
  <si>
    <t>Hyeon</t>
  </si>
  <si>
    <t>Soo</t>
  </si>
  <si>
    <t>Joon</t>
  </si>
  <si>
    <t>Kim</t>
  </si>
  <si>
    <t>Pak</t>
  </si>
  <si>
    <t>Hwan</t>
  </si>
  <si>
    <t>Wei</t>
  </si>
  <si>
    <t>Jun</t>
  </si>
  <si>
    <t>Hao</t>
  </si>
  <si>
    <t>Ming</t>
  </si>
  <si>
    <t>Jian</t>
  </si>
  <si>
    <t xml:space="preserve">Yong </t>
  </si>
  <si>
    <t>Zhi</t>
  </si>
  <si>
    <t>Tian</t>
  </si>
  <si>
    <t>Lei</t>
  </si>
  <si>
    <t xml:space="preserve">Bo </t>
  </si>
  <si>
    <t>Mei</t>
  </si>
  <si>
    <t>Hua</t>
  </si>
  <si>
    <t>Ling</t>
  </si>
  <si>
    <t>Xiu</t>
  </si>
  <si>
    <t>Lan</t>
  </si>
  <si>
    <t>Ying</t>
  </si>
  <si>
    <t>Fen</t>
  </si>
  <si>
    <t>Qing</t>
  </si>
  <si>
    <t>Yan</t>
  </si>
  <si>
    <t>Li</t>
  </si>
  <si>
    <t>Yu</t>
  </si>
  <si>
    <t>An</t>
  </si>
  <si>
    <t>Chen</t>
  </si>
  <si>
    <t>Rui</t>
  </si>
  <si>
    <t>Shan</t>
  </si>
  <si>
    <t>Jing</t>
  </si>
  <si>
    <t>Kai</t>
  </si>
  <si>
    <t>Yi</t>
  </si>
  <si>
    <t>Qiu</t>
  </si>
  <si>
    <t>Tao</t>
  </si>
  <si>
    <t>Alexandros</t>
  </si>
  <si>
    <t>Dimitrios</t>
  </si>
  <si>
    <t>Andreas</t>
  </si>
  <si>
    <t>Theodoros</t>
  </si>
  <si>
    <t>Eleni</t>
  </si>
  <si>
    <t>Sophia</t>
  </si>
  <si>
    <t>Katerina</t>
  </si>
  <si>
    <t>Athena</t>
  </si>
  <si>
    <t>Daphne</t>
  </si>
  <si>
    <t>Daphene</t>
  </si>
  <si>
    <t>Calliope</t>
  </si>
  <si>
    <t>Thalia</t>
  </si>
  <si>
    <t>Dalia</t>
  </si>
  <si>
    <t>Alexis</t>
  </si>
  <si>
    <t>Niki</t>
  </si>
  <si>
    <t>Ari</t>
  </si>
  <si>
    <t>Christopher</t>
  </si>
  <si>
    <t xml:space="preserve">Chris </t>
  </si>
  <si>
    <t>Bridgette</t>
  </si>
  <si>
    <t>Arthur</t>
  </si>
  <si>
    <t>Oliver</t>
  </si>
  <si>
    <t>Jack</t>
  </si>
  <si>
    <t>Harold</t>
  </si>
  <si>
    <t>Edmund</t>
  </si>
  <si>
    <t>Alice</t>
  </si>
  <si>
    <t>Charlotte</t>
  </si>
  <si>
    <t>Eleanor</t>
  </si>
  <si>
    <t>Emma</t>
  </si>
  <si>
    <t>Lucy</t>
  </si>
  <si>
    <t>Lucille</t>
  </si>
  <si>
    <t>Margaret</t>
  </si>
  <si>
    <t>Jane</t>
  </si>
  <si>
    <t>Taylor</t>
  </si>
  <si>
    <t>Jordan</t>
  </si>
  <si>
    <t>Morgan</t>
  </si>
  <si>
    <t>Casey</t>
  </si>
  <si>
    <t>Avery</t>
  </si>
  <si>
    <t>Riley</t>
  </si>
  <si>
    <t>Rowan</t>
  </si>
  <si>
    <t>Quinn</t>
  </si>
  <si>
    <t>Reese</t>
  </si>
  <si>
    <t>Camille</t>
  </si>
  <si>
    <t>Camilla</t>
  </si>
  <si>
    <t>Claire</t>
  </si>
  <si>
    <t>Elodie</t>
  </si>
  <si>
    <t>Julie</t>
  </si>
  <si>
    <t>Juliette</t>
  </si>
  <si>
    <t>Julia</t>
  </si>
  <si>
    <t>Amelie</t>
  </si>
  <si>
    <t>Anais</t>
  </si>
  <si>
    <t>Claude</t>
  </si>
  <si>
    <t>Dominique</t>
  </si>
  <si>
    <t>Charlie</t>
  </si>
  <si>
    <t>Charles</t>
  </si>
  <si>
    <t>Johann</t>
  </si>
  <si>
    <t>Friedrich</t>
  </si>
  <si>
    <t>Wilhelm</t>
  </si>
  <si>
    <t>Lukas</t>
  </si>
  <si>
    <t>Sebastian</t>
  </si>
  <si>
    <t>Esteban</t>
  </si>
  <si>
    <t>Otto</t>
  </si>
  <si>
    <t>Gerhard</t>
  </si>
  <si>
    <t>Rainier</t>
  </si>
  <si>
    <t>Clara</t>
  </si>
  <si>
    <t>Lena</t>
  </si>
  <si>
    <t>Greta</t>
  </si>
  <si>
    <t>Ursula</t>
  </si>
  <si>
    <t>Jannik</t>
  </si>
  <si>
    <t>Lando</t>
  </si>
  <si>
    <t>Bram</t>
  </si>
  <si>
    <t>Wout</t>
  </si>
  <si>
    <t>Koen</t>
  </si>
  <si>
    <t>Pieter</t>
  </si>
  <si>
    <t>Peter</t>
  </si>
  <si>
    <t>Lotte</t>
  </si>
  <si>
    <t>Annelies</t>
  </si>
  <si>
    <t>Tine</t>
  </si>
  <si>
    <t>Lien</t>
  </si>
  <si>
    <t>Femke</t>
  </si>
  <si>
    <t>Marieke</t>
  </si>
  <si>
    <t>Jasmijn</t>
  </si>
  <si>
    <t>Jasmin</t>
  </si>
  <si>
    <t>Samuel</t>
  </si>
  <si>
    <t>Sabrina</t>
  </si>
  <si>
    <t>Thibault</t>
  </si>
  <si>
    <t>Benoit</t>
  </si>
  <si>
    <t>Quentin</t>
  </si>
  <si>
    <t>Alexandre</t>
  </si>
  <si>
    <t>Luc</t>
  </si>
  <si>
    <t>Chloe</t>
  </si>
  <si>
    <t>Amandine</t>
  </si>
  <si>
    <t>Justine</t>
  </si>
  <si>
    <t>Jonas</t>
  </si>
  <si>
    <t>Felix</t>
  </si>
  <si>
    <t>Leon</t>
  </si>
  <si>
    <t>Lea</t>
  </si>
  <si>
    <t>Mia</t>
  </si>
  <si>
    <t>Hannah</t>
  </si>
  <si>
    <t>Mara</t>
  </si>
  <si>
    <t>Rasmus</t>
  </si>
  <si>
    <t>Faber</t>
  </si>
  <si>
    <t>Emil</t>
  </si>
  <si>
    <t>Sipho</t>
  </si>
  <si>
    <t>Mandla</t>
  </si>
  <si>
    <t>Nandi</t>
  </si>
  <si>
    <t>Anaele</t>
  </si>
  <si>
    <t>Nomvula</t>
  </si>
  <si>
    <t>Ayanda</t>
  </si>
  <si>
    <t>Sihle</t>
  </si>
  <si>
    <t>Luthando</t>
  </si>
  <si>
    <t>Bongani</t>
  </si>
  <si>
    <t>Khaya</t>
  </si>
  <si>
    <t>Babalwa</t>
  </si>
  <si>
    <t>Nokuthula</t>
  </si>
  <si>
    <t>Litha</t>
  </si>
  <si>
    <t>Amahle</t>
  </si>
  <si>
    <t>Thabo</t>
  </si>
  <si>
    <t>Neo</t>
  </si>
  <si>
    <t>Palesa</t>
  </si>
  <si>
    <t>Lerato</t>
  </si>
  <si>
    <t>Refilwe</t>
  </si>
  <si>
    <t>Liezl</t>
  </si>
  <si>
    <t>Roux</t>
  </si>
  <si>
    <t>Chantelle</t>
  </si>
  <si>
    <t>Jenna</t>
  </si>
  <si>
    <t>Jennifer</t>
  </si>
  <si>
    <t>Jenifer</t>
  </si>
  <si>
    <t>Jen</t>
  </si>
  <si>
    <t>Taryn</t>
  </si>
  <si>
    <t>Ariel</t>
  </si>
  <si>
    <t>Noam</t>
  </si>
  <si>
    <t>Esau</t>
  </si>
  <si>
    <t>Eitan</t>
  </si>
  <si>
    <t>Avi</t>
  </si>
  <si>
    <t>Yosef</t>
  </si>
  <si>
    <t>Omer</t>
  </si>
  <si>
    <t>Itai</t>
  </si>
  <si>
    <t>Barak</t>
  </si>
  <si>
    <t>Yael</t>
  </si>
  <si>
    <t>Noa</t>
  </si>
  <si>
    <t>Tamaryn</t>
  </si>
  <si>
    <t>Abigail</t>
  </si>
  <si>
    <t>Liora</t>
  </si>
  <si>
    <t>Rivka</t>
  </si>
  <si>
    <t>Hila</t>
  </si>
  <si>
    <t>Galit</t>
  </si>
  <si>
    <t>Eden</t>
  </si>
  <si>
    <t>Amit</t>
  </si>
  <si>
    <t>Rotem</t>
  </si>
  <si>
    <t>Shachar</t>
  </si>
  <si>
    <t>Cohen</t>
  </si>
  <si>
    <t>Levi</t>
  </si>
  <si>
    <t>Levy</t>
  </si>
  <si>
    <t>Ami</t>
  </si>
  <si>
    <t>Mizrahi</t>
  </si>
  <si>
    <t>On</t>
  </si>
  <si>
    <t>Shapira</t>
  </si>
  <si>
    <t>Odo</t>
  </si>
  <si>
    <t>Sisko</t>
  </si>
  <si>
    <t>Picard</t>
  </si>
  <si>
    <t>Omar</t>
  </si>
  <si>
    <t>Ibrahim</t>
  </si>
  <si>
    <t>Mahmoud</t>
  </si>
  <si>
    <t>Karim</t>
  </si>
  <si>
    <t>Mina</t>
  </si>
  <si>
    <t>Mariam</t>
  </si>
  <si>
    <t>Dina</t>
  </si>
  <si>
    <t>Yasmin</t>
  </si>
  <si>
    <t>Malak</t>
  </si>
  <si>
    <t>Rafif</t>
  </si>
  <si>
    <t>Moses</t>
  </si>
  <si>
    <t>Arman</t>
  </si>
  <si>
    <t>Kian</t>
  </si>
  <si>
    <t>Sina</t>
  </si>
  <si>
    <t>Ramin</t>
  </si>
  <si>
    <t>Navid</t>
  </si>
  <si>
    <t>Behnam</t>
  </si>
  <si>
    <t>Roya</t>
  </si>
  <si>
    <t>Darya</t>
  </si>
  <si>
    <t>Parisa</t>
  </si>
  <si>
    <t>Hasti</t>
  </si>
  <si>
    <t>Mahsa</t>
  </si>
  <si>
    <t>Dana</t>
  </si>
  <si>
    <t>Kimia</t>
  </si>
  <si>
    <t>Sahar</t>
  </si>
  <si>
    <t>Cyrus</t>
  </si>
  <si>
    <t>Darius</t>
  </si>
  <si>
    <t>Atusa</t>
  </si>
  <si>
    <t>Mitra</t>
  </si>
  <si>
    <t>Roxane</t>
  </si>
  <si>
    <t>Azar</t>
  </si>
  <si>
    <t>Arjun</t>
  </si>
  <si>
    <t>Rohan</t>
  </si>
  <si>
    <t>Aarav</t>
  </si>
  <si>
    <t>Kunal</t>
  </si>
  <si>
    <t>Ravi</t>
  </si>
  <si>
    <t>Priya</t>
  </si>
  <si>
    <t>Pakatip</t>
  </si>
  <si>
    <t>Ananya</t>
  </si>
  <si>
    <t>Isha</t>
  </si>
  <si>
    <t>Meera</t>
  </si>
  <si>
    <t>Aadi</t>
  </si>
  <si>
    <t>Ira</t>
  </si>
  <si>
    <t>Faisal</t>
  </si>
  <si>
    <t>Zaid</t>
  </si>
  <si>
    <t>Zara</t>
  </si>
  <si>
    <t>Fatima</t>
  </si>
  <si>
    <t>Samira</t>
  </si>
  <si>
    <t>Amani</t>
  </si>
  <si>
    <t>Hamza</t>
  </si>
  <si>
    <t>Ramza</t>
  </si>
  <si>
    <t>Bilal</t>
  </si>
  <si>
    <t>Shahbaz</t>
  </si>
  <si>
    <t>Fahad</t>
  </si>
  <si>
    <t>Ayesha</t>
  </si>
  <si>
    <t>Hira</t>
  </si>
  <si>
    <t>Sadia</t>
  </si>
  <si>
    <t>Nimra</t>
  </si>
  <si>
    <t>Zoya</t>
  </si>
  <si>
    <t>Nida</t>
  </si>
  <si>
    <t>Rida</t>
  </si>
  <si>
    <t>Wali</t>
  </si>
  <si>
    <t>Zmarai</t>
  </si>
  <si>
    <t>Haroon</t>
  </si>
  <si>
    <t>Laila</t>
  </si>
  <si>
    <t>Mahnoor</t>
  </si>
  <si>
    <t>Shanzay</t>
  </si>
  <si>
    <t>Gul</t>
  </si>
  <si>
    <t>Dukat</t>
  </si>
  <si>
    <t>Damar</t>
  </si>
  <si>
    <t>Ahmad</t>
  </si>
  <si>
    <t>Javid</t>
  </si>
  <si>
    <t>Soraya</t>
  </si>
  <si>
    <t>Tahira</t>
  </si>
  <si>
    <t>Nicholas</t>
  </si>
  <si>
    <t>Nick</t>
  </si>
  <si>
    <t>Nicth</t>
  </si>
  <si>
    <t>Reginald</t>
  </si>
  <si>
    <t>Reggie</t>
  </si>
  <si>
    <t>Reg</t>
  </si>
  <si>
    <t>Anurak</t>
  </si>
  <si>
    <t>Wichai</t>
  </si>
  <si>
    <t>Surasak</t>
  </si>
  <si>
    <t>Sirilak</t>
  </si>
  <si>
    <t>Chanikan</t>
  </si>
  <si>
    <t>Malai</t>
  </si>
  <si>
    <t>Suda</t>
  </si>
  <si>
    <t>Suthida</t>
  </si>
  <si>
    <t>Ironbender</t>
  </si>
  <si>
    <t>Rosewood</t>
  </si>
  <si>
    <t>Stonecutter</t>
  </si>
  <si>
    <t>Ironwood</t>
  </si>
  <si>
    <t>Stoneward</t>
  </si>
  <si>
    <t>Shadowblade</t>
  </si>
  <si>
    <t>Castlebreaker</t>
  </si>
  <si>
    <t>Azlan</t>
  </si>
  <si>
    <t>Hakim</t>
  </si>
  <si>
    <t>Rizal</t>
  </si>
  <si>
    <t>Harris</t>
  </si>
  <si>
    <t>Harrison</t>
  </si>
  <si>
    <t>Imram</t>
  </si>
  <si>
    <t>Siti</t>
  </si>
  <si>
    <t>Aisha</t>
  </si>
  <si>
    <t>Nurul</t>
  </si>
  <si>
    <t>Farah</t>
  </si>
  <si>
    <t>Amira</t>
  </si>
  <si>
    <t>Maisarah</t>
  </si>
  <si>
    <t>Dian</t>
  </si>
  <si>
    <t>Legatio</t>
  </si>
  <si>
    <t>Wira</t>
  </si>
  <si>
    <t>Melati</t>
  </si>
  <si>
    <t>Cempaka</t>
  </si>
  <si>
    <t>Wardah</t>
  </si>
  <si>
    <t>Helmi</t>
  </si>
  <si>
    <t>Yuni</t>
  </si>
  <si>
    <t>Yuna</t>
  </si>
  <si>
    <t>Rina</t>
  </si>
  <si>
    <t>Ryanne</t>
  </si>
  <si>
    <t>Ryn</t>
  </si>
  <si>
    <t>Maya</t>
  </si>
  <si>
    <t>Tama</t>
  </si>
  <si>
    <t>Rawiri</t>
  </si>
  <si>
    <t>Manaia</t>
  </si>
  <si>
    <t>Ragni</t>
  </si>
  <si>
    <t>Aroha</t>
  </si>
  <si>
    <t>Moana</t>
  </si>
  <si>
    <t>Hine</t>
  </si>
  <si>
    <t>Kiri</t>
  </si>
  <si>
    <t>Maia</t>
  </si>
  <si>
    <t>Ria</t>
  </si>
  <si>
    <t>Marama</t>
  </si>
  <si>
    <t>Awhina</t>
  </si>
  <si>
    <t>Kauri</t>
  </si>
  <si>
    <t>Tai</t>
  </si>
  <si>
    <t>Aio</t>
  </si>
  <si>
    <t>Tui</t>
  </si>
  <si>
    <t>Hau</t>
  </si>
  <si>
    <t>Rongo</t>
  </si>
  <si>
    <t>Wicasa</t>
  </si>
  <si>
    <t>Chaska</t>
  </si>
  <si>
    <t>Wambli</t>
  </si>
  <si>
    <t>Winona</t>
  </si>
  <si>
    <t>Anpo</t>
  </si>
  <si>
    <t>Wiyan</t>
  </si>
  <si>
    <t>Sinte</t>
  </si>
  <si>
    <t>Waya</t>
  </si>
  <si>
    <t>Tsali</t>
  </si>
  <si>
    <t>Salali</t>
  </si>
  <si>
    <t>Ahyoka</t>
  </si>
  <si>
    <t>Adohi</t>
  </si>
  <si>
    <t>Ashkii</t>
  </si>
  <si>
    <t>Nilchi</t>
  </si>
  <si>
    <t>Atsidi</t>
  </si>
  <si>
    <t>Tsoh</t>
  </si>
  <si>
    <t>Nantan</t>
  </si>
  <si>
    <t>Dasan</t>
  </si>
  <si>
    <t>Yena</t>
  </si>
  <si>
    <t>Tazhi</t>
  </si>
  <si>
    <t>Kohana</t>
  </si>
  <si>
    <t>Aponi</t>
  </si>
  <si>
    <t>Makwa</t>
  </si>
  <si>
    <t>Waban</t>
  </si>
  <si>
    <t>Aiyana</t>
  </si>
  <si>
    <t>Asha</t>
  </si>
  <si>
    <t>Onida</t>
  </si>
  <si>
    <t>Kaw</t>
  </si>
  <si>
    <t>Tawa</t>
  </si>
  <si>
    <t>Pahana</t>
  </si>
  <si>
    <t>Atsa</t>
  </si>
  <si>
    <t>Kiona</t>
  </si>
  <si>
    <t>Ernest</t>
  </si>
  <si>
    <t>Frederick</t>
  </si>
  <si>
    <t>Shirley</t>
  </si>
  <si>
    <t>Gloria</t>
  </si>
  <si>
    <t>Brenda</t>
  </si>
  <si>
    <t>Denise</t>
  </si>
  <si>
    <t>Carolyn</t>
  </si>
  <si>
    <t>Dianne</t>
  </si>
  <si>
    <t>Yvonne</t>
  </si>
  <si>
    <t>Darnell</t>
  </si>
  <si>
    <t>Trevon</t>
  </si>
  <si>
    <t>Marquis</t>
  </si>
  <si>
    <t>Jamal</t>
  </si>
  <si>
    <t>Rashad</t>
  </si>
  <si>
    <t>Antwon</t>
  </si>
  <si>
    <t>Aaliyah</t>
  </si>
  <si>
    <t>Keisha</t>
  </si>
  <si>
    <t>Tameka</t>
  </si>
  <si>
    <t>Brianna</t>
  </si>
  <si>
    <t>Malik</t>
  </si>
  <si>
    <t>Zion</t>
  </si>
  <si>
    <t>Kyrie</t>
  </si>
  <si>
    <t>Jalen</t>
  </si>
  <si>
    <t>Nasir</t>
  </si>
  <si>
    <t>Jaylen</t>
  </si>
  <si>
    <t>Nia</t>
  </si>
  <si>
    <t>Zaria</t>
  </si>
  <si>
    <t>Aminah</t>
  </si>
  <si>
    <t>Serenity</t>
  </si>
  <si>
    <t>Kofi</t>
  </si>
  <si>
    <t>Jabari</t>
  </si>
  <si>
    <t>Omari</t>
  </si>
  <si>
    <t>Skylar</t>
  </si>
  <si>
    <t xml:space="preserve">Jose </t>
  </si>
  <si>
    <t>Juan</t>
  </si>
  <si>
    <t>Franscico</t>
  </si>
  <si>
    <t>Alberto</t>
  </si>
  <si>
    <t>Diego</t>
  </si>
  <si>
    <t>Carmen</t>
  </si>
  <si>
    <t>Isabel</t>
  </si>
  <si>
    <t>Lucia</t>
  </si>
  <si>
    <t>Elena</t>
  </si>
  <si>
    <t>Hugo</t>
  </si>
  <si>
    <t>Martin</t>
  </si>
  <si>
    <t>Pablo</t>
  </si>
  <si>
    <t>Adrian</t>
  </si>
  <si>
    <t>Valeri</t>
  </si>
  <si>
    <t>Valeria</t>
  </si>
  <si>
    <t>Pauline</t>
  </si>
  <si>
    <t>Paula</t>
  </si>
  <si>
    <t>Ines</t>
  </si>
  <si>
    <t>Oriol</t>
  </si>
  <si>
    <t>Pau</t>
  </si>
  <si>
    <t>Marc</t>
  </si>
  <si>
    <t>Mireia</t>
  </si>
  <si>
    <t>Nuria</t>
  </si>
  <si>
    <t>Iago</t>
  </si>
  <si>
    <t>Lois</t>
  </si>
  <si>
    <t>Uxia</t>
  </si>
  <si>
    <t>Iria</t>
  </si>
  <si>
    <t>Sosa</t>
  </si>
  <si>
    <t>Cruz</t>
  </si>
  <si>
    <t>Sol</t>
  </si>
  <si>
    <t>Mar</t>
  </si>
  <si>
    <t>Gabriel</t>
  </si>
  <si>
    <t>Gabor</t>
  </si>
  <si>
    <t>Istvan</t>
  </si>
  <si>
    <t>Miklos</t>
  </si>
  <si>
    <t>Katalin</t>
  </si>
  <si>
    <t>Ilona</t>
  </si>
  <si>
    <t>Ester</t>
  </si>
  <si>
    <t>Eszter</t>
  </si>
  <si>
    <t>Julianne</t>
  </si>
  <si>
    <t>Maria</t>
  </si>
  <si>
    <t>Agnes</t>
  </si>
  <si>
    <t>Bence</t>
  </si>
  <si>
    <t>Adam</t>
  </si>
  <si>
    <t>Patrik</t>
  </si>
  <si>
    <t>Lily</t>
  </si>
  <si>
    <t>Reka</t>
  </si>
  <si>
    <t>Arpad</t>
  </si>
  <si>
    <t>Ond</t>
  </si>
  <si>
    <t>Tunde</t>
  </si>
  <si>
    <t>Eniko</t>
  </si>
  <si>
    <t>Ibolya</t>
  </si>
  <si>
    <t>Tenzin</t>
  </si>
  <si>
    <t>Kelsang</t>
  </si>
  <si>
    <t>Sonam</t>
  </si>
  <si>
    <t>Pema</t>
  </si>
  <si>
    <t>Yeshe</t>
  </si>
  <si>
    <t>Tsultrim</t>
  </si>
  <si>
    <t>Gyatos</t>
  </si>
  <si>
    <t>Norubu</t>
  </si>
  <si>
    <t>Sangye</t>
  </si>
  <si>
    <t>Jimge</t>
  </si>
  <si>
    <t>Dawa</t>
  </si>
  <si>
    <t>Lhamo</t>
  </si>
  <si>
    <t>Yangshen</t>
  </si>
  <si>
    <t>Choden</t>
  </si>
  <si>
    <t>Gyatso</t>
  </si>
  <si>
    <t>Karam</t>
  </si>
  <si>
    <t>Dolma</t>
  </si>
  <si>
    <t>Batu</t>
  </si>
  <si>
    <t>Chuluun</t>
  </si>
  <si>
    <t>Erdene</t>
  </si>
  <si>
    <t>Tomor</t>
  </si>
  <si>
    <t>Monkh</t>
  </si>
  <si>
    <t>Tsetseg</t>
  </si>
  <si>
    <t>Sarangerel</t>
  </si>
  <si>
    <t>Oyun</t>
  </si>
  <si>
    <t>Anu</t>
  </si>
  <si>
    <t>Naran</t>
  </si>
  <si>
    <t>Tenger</t>
  </si>
  <si>
    <t>Enkh</t>
  </si>
  <si>
    <t>Borjigin</t>
  </si>
  <si>
    <t>Qulan</t>
  </si>
  <si>
    <t>Arslan</t>
  </si>
  <si>
    <t>Sukh</t>
  </si>
  <si>
    <t>Khulan</t>
  </si>
  <si>
    <t xml:space="preserve">Gems </t>
  </si>
  <si>
    <t>Sapphire</t>
  </si>
  <si>
    <t>Ruby</t>
  </si>
  <si>
    <t>Diamond</t>
  </si>
  <si>
    <t>Garnet</t>
  </si>
  <si>
    <t>Types of Gems</t>
  </si>
  <si>
    <t>Common</t>
  </si>
  <si>
    <t>drop rate</t>
  </si>
  <si>
    <t>Uncommon</t>
  </si>
  <si>
    <t>Malachite</t>
  </si>
  <si>
    <t>Quartz</t>
  </si>
  <si>
    <t>Jasmine</t>
  </si>
  <si>
    <t>For level 2 mobs, common drop rate is 95% with 5% to drop uncommon</t>
  </si>
  <si>
    <t>For level 3 mobs, common drop rate is 65% with 35% uncommon drop rate</t>
  </si>
  <si>
    <t>Perz</t>
  </si>
  <si>
    <t>Yontz</t>
  </si>
  <si>
    <t>Gaul</t>
  </si>
  <si>
    <t>Imperia</t>
  </si>
  <si>
    <t>Bront</t>
  </si>
  <si>
    <t>Jurian</t>
  </si>
  <si>
    <t>Yelz</t>
  </si>
  <si>
    <t>Wytte</t>
  </si>
  <si>
    <t>Kolt</t>
  </si>
  <si>
    <t>Ho</t>
  </si>
  <si>
    <t>Jang</t>
  </si>
  <si>
    <t>Xian</t>
  </si>
  <si>
    <t>Pei</t>
  </si>
  <si>
    <t>Liu</t>
  </si>
  <si>
    <t>Han</t>
  </si>
  <si>
    <t>Sun</t>
  </si>
  <si>
    <t>Kummo</t>
  </si>
  <si>
    <t>Mitsuda</t>
  </si>
  <si>
    <t>Takeda</t>
  </si>
  <si>
    <t>Kira</t>
  </si>
  <si>
    <t>Immelman</t>
  </si>
  <si>
    <t>Dyson</t>
  </si>
  <si>
    <t>Hunter</t>
  </si>
  <si>
    <t>Hayes</t>
  </si>
  <si>
    <t>Honda</t>
  </si>
  <si>
    <t>Mitsurugi</t>
  </si>
  <si>
    <t>Terrance</t>
  </si>
  <si>
    <t>Glaeve</t>
  </si>
  <si>
    <t>Winterhorn</t>
  </si>
  <si>
    <t>Goldleaf</t>
  </si>
  <si>
    <t>Silverlake</t>
  </si>
  <si>
    <t>Bronzer</t>
  </si>
  <si>
    <t>Ironhammer</t>
  </si>
  <si>
    <t>Shaedy</t>
  </si>
  <si>
    <t>Aquamarine</t>
  </si>
  <si>
    <t>Morganite</t>
  </si>
  <si>
    <t>Amethyst</t>
  </si>
  <si>
    <t>Cirtine</t>
  </si>
  <si>
    <t>Tiger's Eye</t>
  </si>
  <si>
    <t>Almandine</t>
  </si>
  <si>
    <t>Tsavorite</t>
  </si>
  <si>
    <t>Iridyessence</t>
  </si>
  <si>
    <t>Tourmaline</t>
  </si>
  <si>
    <t>Gormalitte</t>
  </si>
  <si>
    <t>Tanzyte</t>
  </si>
  <si>
    <t>Corimar</t>
  </si>
  <si>
    <t>Mustgravite</t>
  </si>
  <si>
    <t>Turqualite</t>
  </si>
  <si>
    <t>Topaz</t>
  </si>
  <si>
    <t>Ademintyte</t>
  </si>
  <si>
    <t>Exotic Arms</t>
  </si>
  <si>
    <t>Tellerite Blade</t>
  </si>
  <si>
    <t>dmg</t>
  </si>
  <si>
    <t>bonus</t>
  </si>
  <si>
    <t>weapon</t>
  </si>
  <si>
    <t>+3 to beast</t>
  </si>
  <si>
    <t>Vulcan Hammer</t>
  </si>
  <si>
    <t>+3 to undead</t>
  </si>
  <si>
    <t>+1 luck</t>
  </si>
  <si>
    <t>Verdant Blade</t>
  </si>
  <si>
    <t>+3 monsters</t>
  </si>
  <si>
    <t>+ stamina</t>
  </si>
  <si>
    <t>+1 defense</t>
  </si>
  <si>
    <t>Cost</t>
  </si>
  <si>
    <t>sell price</t>
  </si>
  <si>
    <t>rarity</t>
  </si>
  <si>
    <t>c</t>
  </si>
  <si>
    <t>u</t>
  </si>
  <si>
    <t xml:space="preserve">r </t>
  </si>
  <si>
    <t>r</t>
  </si>
  <si>
    <t>ur</t>
  </si>
  <si>
    <t>+10</t>
  </si>
  <si>
    <t>buy price</t>
  </si>
  <si>
    <t>-</t>
  </si>
  <si>
    <t>rarity ranking</t>
  </si>
  <si>
    <t>c - common</t>
  </si>
  <si>
    <t>u - uncommon</t>
  </si>
  <si>
    <t>r - rare</t>
  </si>
  <si>
    <t>ur - ultra rare</t>
  </si>
  <si>
    <t>Monster</t>
  </si>
  <si>
    <t>250</t>
  </si>
  <si>
    <t>30</t>
  </si>
  <si>
    <t>Armor/Defense type</t>
  </si>
  <si>
    <t>armor type</t>
  </si>
  <si>
    <t>cloth</t>
  </si>
  <si>
    <t>defense</t>
  </si>
  <si>
    <t>Banded</t>
  </si>
  <si>
    <t>Chain</t>
  </si>
  <si>
    <t>Equipped by</t>
  </si>
  <si>
    <t>By</t>
  </si>
  <si>
    <t>1 - Priest</t>
  </si>
  <si>
    <t>2 - Mage</t>
  </si>
  <si>
    <t>3 - Mercenary</t>
  </si>
  <si>
    <t>4 - Soldier</t>
  </si>
  <si>
    <t>1, 2, 3, 4</t>
  </si>
  <si>
    <t>3, 4</t>
  </si>
  <si>
    <t>Cost to buy</t>
  </si>
  <si>
    <t>sell</t>
  </si>
  <si>
    <t>base defense</t>
  </si>
  <si>
    <t>Priestly Robes</t>
  </si>
  <si>
    <t>type</t>
  </si>
  <si>
    <t>Commoner clothes</t>
  </si>
  <si>
    <t>Sidran Paladin Plate</t>
  </si>
  <si>
    <t>Plate</t>
  </si>
  <si>
    <t>25 hp</t>
  </si>
  <si>
    <t>5 AP</t>
  </si>
  <si>
    <t>2 Str</t>
  </si>
  <si>
    <t>Isil Royal Plate</t>
  </si>
  <si>
    <t>35 hp</t>
  </si>
  <si>
    <t>4 AP</t>
  </si>
  <si>
    <t>1 Str</t>
  </si>
  <si>
    <t>Alabaster Robes</t>
  </si>
  <si>
    <t>Cloth</t>
  </si>
  <si>
    <t>15 hp</t>
  </si>
  <si>
    <t>35 mp</t>
  </si>
  <si>
    <t>5 Int</t>
  </si>
  <si>
    <t>1, 2</t>
  </si>
  <si>
    <t>Migl Straps</t>
  </si>
  <si>
    <t>Leather</t>
  </si>
  <si>
    <t>13 hp</t>
  </si>
  <si>
    <t>6 AP</t>
  </si>
  <si>
    <t>3 Str</t>
  </si>
  <si>
    <t>Scale</t>
  </si>
  <si>
    <t>Lamellar</t>
  </si>
  <si>
    <t>Brigandine</t>
  </si>
  <si>
    <t>Cuirass</t>
  </si>
  <si>
    <t>Fur</t>
  </si>
  <si>
    <t>Padded</t>
  </si>
  <si>
    <t>Gambeson</t>
  </si>
  <si>
    <t>1 int</t>
  </si>
  <si>
    <t>Eastern Blade Armor</t>
  </si>
  <si>
    <t>19 hp</t>
  </si>
  <si>
    <t>8 AP</t>
  </si>
  <si>
    <t>Hunting</t>
  </si>
  <si>
    <t>fur</t>
  </si>
  <si>
    <t>Bear Cloth</t>
  </si>
  <si>
    <t>Lion Cloth</t>
  </si>
  <si>
    <t>2 hp</t>
  </si>
  <si>
    <t xml:space="preserve"> </t>
  </si>
  <si>
    <t>Full plate</t>
  </si>
  <si>
    <t>plate</t>
  </si>
  <si>
    <t>Half plate</t>
  </si>
  <si>
    <t>Assassin's Robes</t>
  </si>
  <si>
    <t>leather</t>
  </si>
  <si>
    <t>Chain Mail</t>
  </si>
  <si>
    <t xml:space="preserve">purchase? </t>
  </si>
  <si>
    <t>y</t>
  </si>
  <si>
    <t>n</t>
  </si>
  <si>
    <t>Abilities</t>
  </si>
  <si>
    <t>level learned</t>
  </si>
  <si>
    <t>Cleave</t>
  </si>
  <si>
    <t>Heavy Blow</t>
  </si>
  <si>
    <t xml:space="preserve">damage </t>
  </si>
  <si>
    <t>damage = 1</t>
  </si>
  <si>
    <t>damage = 2 + (str * 1.5)</t>
  </si>
  <si>
    <t>Example</t>
  </si>
  <si>
    <t>Killing blow</t>
  </si>
  <si>
    <t>damage = 5 + (str * 2.5)</t>
  </si>
  <si>
    <t>Name</t>
  </si>
  <si>
    <t>Use</t>
  </si>
  <si>
    <t>Blades for Days</t>
  </si>
  <si>
    <t>damage = (luck * .5(1 + (str * 1.25)))</t>
  </si>
  <si>
    <t>Spark</t>
  </si>
  <si>
    <t>AP/MP</t>
  </si>
  <si>
    <t>1 AP</t>
  </si>
  <si>
    <t>3 AP</t>
  </si>
  <si>
    <t>2 AP</t>
  </si>
  <si>
    <t>10 mp</t>
  </si>
  <si>
    <t>Nil, can cast on others</t>
  </si>
  <si>
    <t>Stone Wall</t>
  </si>
  <si>
    <t>Iron Wall</t>
  </si>
  <si>
    <t>20 mp</t>
  </si>
  <si>
    <t>Nil, group cast</t>
  </si>
  <si>
    <t>3 mp</t>
  </si>
  <si>
    <t>Holy Flame</t>
  </si>
  <si>
    <t>8 mp</t>
  </si>
  <si>
    <t>Heal</t>
  </si>
  <si>
    <t>Healing Prayer</t>
  </si>
  <si>
    <t>5 mp</t>
  </si>
  <si>
    <t>25 mp</t>
  </si>
  <si>
    <t>Life</t>
  </si>
  <si>
    <t>15 mp</t>
  </si>
  <si>
    <t>revive fallen character</t>
  </si>
  <si>
    <t>25% of hp</t>
  </si>
  <si>
    <t>Fireball</t>
  </si>
  <si>
    <t>30 mp</t>
  </si>
  <si>
    <t>Fusion</t>
  </si>
  <si>
    <t>damage = 15</t>
  </si>
  <si>
    <t>damage = 5</t>
  </si>
  <si>
    <t>Priest &amp; Mage spells scale according to INT rating</t>
  </si>
  <si>
    <t>damage = 1+ floor(2*.5)</t>
  </si>
  <si>
    <t>damage = 2+ floor(2*.5)</t>
  </si>
  <si>
    <t>heal = max(2, 2 + intspellbonus) - int</t>
  </si>
  <si>
    <t>heals (same formula as heal), all characters</t>
  </si>
  <si>
    <t>indicates that the ability scales according to specific rating.</t>
  </si>
  <si>
    <t>magical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</si>
</sst>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2"/>
      <color theme="1"/>
      <name val="Aptos Narrow (Body)"/>
    </font>
    <font>
      <i/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b/>
      <sz val="24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0" borderId="3" xfId="0" applyFont="1" applyBorder="1"/>
    <xf numFmtId="1" fontId="4" fillId="0" borderId="0" xfId="0" applyNumberFormat="1" applyFont="1" applyAlignment="1">
      <alignment horizontal="center"/>
    </xf>
    <xf numFmtId="0" fontId="4" fillId="0" borderId="4" xfId="0" applyFont="1" applyBorder="1"/>
    <xf numFmtId="1" fontId="4" fillId="7" borderId="5" xfId="0" applyNumberFormat="1" applyFont="1" applyFill="1" applyBorder="1" applyAlignment="1">
      <alignment horizontal="center"/>
    </xf>
    <xf numFmtId="1" fontId="4" fillId="0" borderId="1" xfId="0" applyNumberFormat="1" applyFont="1" applyBorder="1"/>
    <xf numFmtId="1" fontId="4" fillId="0" borderId="5" xfId="0" applyNumberFormat="1" applyFont="1" applyBorder="1"/>
    <xf numFmtId="1" fontId="4" fillId="0" borderId="3" xfId="0" applyNumberFormat="1" applyFont="1" applyBorder="1"/>
    <xf numFmtId="1" fontId="4" fillId="0" borderId="7" xfId="0" applyNumberFormat="1" applyFont="1" applyBorder="1"/>
    <xf numFmtId="16" fontId="0" fillId="0" borderId="1" xfId="0" applyNumberFormat="1" applyBorder="1"/>
    <xf numFmtId="0" fontId="2" fillId="0" borderId="0" xfId="0" applyFont="1"/>
    <xf numFmtId="0" fontId="6" fillId="0" borderId="1" xfId="0" applyFont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8" fillId="0" borderId="1" xfId="0" applyFont="1" applyBorder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10" borderId="0" xfId="0" applyNumberFormat="1" applyFill="1"/>
    <xf numFmtId="0" fontId="0" fillId="10" borderId="0" xfId="0" applyFill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J377"/>
  <sheetViews>
    <sheetView tabSelected="1" topLeftCell="A35" zoomScale="132" zoomScaleNormal="132" workbookViewId="0">
      <selection activeCell="E62" sqref="E62"/>
    </sheetView>
  </sheetViews>
  <sheetFormatPr baseColWidth="10" defaultRowHeight="16" x14ac:dyDescent="0.2"/>
  <cols>
    <col min="1" max="1" width="18.5" bestFit="1" customWidth="1"/>
    <col min="10" max="10" width="12.6640625" bestFit="1" customWidth="1"/>
  </cols>
  <sheetData>
    <row r="1" spans="1:10" x14ac:dyDescent="0.2">
      <c r="A1" s="2" t="s">
        <v>0</v>
      </c>
    </row>
    <row r="2" spans="1:10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1181</v>
      </c>
      <c r="F2" s="3" t="s">
        <v>1050</v>
      </c>
      <c r="G2" s="3" t="s">
        <v>1051</v>
      </c>
      <c r="H2" s="3" t="s">
        <v>1058</v>
      </c>
      <c r="I2" s="3" t="s">
        <v>1131</v>
      </c>
      <c r="J2" s="3" t="s">
        <v>1060</v>
      </c>
    </row>
    <row r="3" spans="1:10" x14ac:dyDescent="0.2">
      <c r="A3" t="s">
        <v>1</v>
      </c>
      <c r="B3" s="1" t="s">
        <v>43</v>
      </c>
      <c r="C3" s="1"/>
      <c r="D3" s="1"/>
      <c r="E3" s="1" t="s">
        <v>1133</v>
      </c>
      <c r="F3">
        <v>3</v>
      </c>
      <c r="G3" t="s">
        <v>1052</v>
      </c>
      <c r="H3">
        <v>10</v>
      </c>
      <c r="I3" t="s">
        <v>1132</v>
      </c>
      <c r="J3" t="s">
        <v>1061</v>
      </c>
    </row>
    <row r="4" spans="1:10" x14ac:dyDescent="0.2">
      <c r="A4" t="s">
        <v>2</v>
      </c>
      <c r="B4" s="1" t="s">
        <v>44</v>
      </c>
      <c r="C4" s="1"/>
      <c r="D4" s="1"/>
      <c r="E4" s="1" t="s">
        <v>1133</v>
      </c>
      <c r="F4">
        <v>4</v>
      </c>
      <c r="G4" t="s">
        <v>1053</v>
      </c>
      <c r="H4">
        <v>20</v>
      </c>
      <c r="I4" t="s">
        <v>1132</v>
      </c>
      <c r="J4" t="s">
        <v>1062</v>
      </c>
    </row>
    <row r="5" spans="1:10" x14ac:dyDescent="0.2">
      <c r="A5" t="s">
        <v>7</v>
      </c>
      <c r="B5" s="1" t="s">
        <v>46</v>
      </c>
      <c r="C5" s="1" t="s">
        <v>47</v>
      </c>
      <c r="D5" s="1"/>
      <c r="E5" s="1" t="s">
        <v>1132</v>
      </c>
      <c r="F5">
        <v>8</v>
      </c>
      <c r="G5" t="s">
        <v>1054</v>
      </c>
      <c r="H5" t="s">
        <v>1059</v>
      </c>
      <c r="I5" t="s">
        <v>1133</v>
      </c>
      <c r="J5" t="s">
        <v>1063</v>
      </c>
    </row>
    <row r="6" spans="1:10" x14ac:dyDescent="0.2">
      <c r="A6" t="s">
        <v>8</v>
      </c>
      <c r="B6" s="1" t="s">
        <v>46</v>
      </c>
      <c r="C6" s="1" t="s">
        <v>48</v>
      </c>
      <c r="D6" s="1"/>
      <c r="E6" s="1" t="s">
        <v>1132</v>
      </c>
      <c r="F6">
        <v>8</v>
      </c>
      <c r="G6" t="s">
        <v>1054</v>
      </c>
      <c r="H6" t="s">
        <v>1059</v>
      </c>
      <c r="I6" t="s">
        <v>1133</v>
      </c>
      <c r="J6" t="s">
        <v>1064</v>
      </c>
    </row>
    <row r="7" spans="1:10" x14ac:dyDescent="0.2">
      <c r="A7" t="s">
        <v>9</v>
      </c>
      <c r="B7" s="1" t="s">
        <v>46</v>
      </c>
      <c r="C7" s="1" t="s">
        <v>49</v>
      </c>
      <c r="D7" s="1"/>
      <c r="E7" s="1" t="s">
        <v>1132</v>
      </c>
      <c r="F7">
        <v>8</v>
      </c>
      <c r="G7" t="s">
        <v>1054</v>
      </c>
      <c r="H7" t="s">
        <v>1059</v>
      </c>
      <c r="I7" t="s">
        <v>1133</v>
      </c>
    </row>
    <row r="8" spans="1:10" x14ac:dyDescent="0.2">
      <c r="A8" t="s">
        <v>10</v>
      </c>
      <c r="B8" s="1" t="s">
        <v>46</v>
      </c>
      <c r="C8" s="1" t="s">
        <v>50</v>
      </c>
      <c r="D8" s="1"/>
      <c r="E8" s="1" t="s">
        <v>1132</v>
      </c>
      <c r="F8">
        <v>8</v>
      </c>
      <c r="G8" t="s">
        <v>1055</v>
      </c>
      <c r="H8" t="s">
        <v>1059</v>
      </c>
      <c r="I8" t="s">
        <v>1133</v>
      </c>
    </row>
    <row r="9" spans="1:10" x14ac:dyDescent="0.2">
      <c r="A9" t="s">
        <v>5</v>
      </c>
      <c r="B9" s="1" t="s">
        <v>45</v>
      </c>
      <c r="C9" s="1" t="s">
        <v>51</v>
      </c>
      <c r="D9" s="1"/>
      <c r="E9" s="1" t="s">
        <v>1132</v>
      </c>
      <c r="F9">
        <v>8</v>
      </c>
      <c r="G9" t="s">
        <v>1055</v>
      </c>
      <c r="H9" t="s">
        <v>1059</v>
      </c>
      <c r="I9" t="s">
        <v>1133</v>
      </c>
    </row>
    <row r="10" spans="1:10" x14ac:dyDescent="0.2">
      <c r="A10" t="s">
        <v>6</v>
      </c>
      <c r="B10" s="1" t="s">
        <v>63</v>
      </c>
      <c r="C10" s="1" t="s">
        <v>52</v>
      </c>
      <c r="D10" s="1"/>
      <c r="E10" s="1" t="s">
        <v>1132</v>
      </c>
      <c r="F10">
        <v>15</v>
      </c>
      <c r="G10" t="s">
        <v>1056</v>
      </c>
      <c r="H10" t="s">
        <v>1059</v>
      </c>
      <c r="I10" t="s">
        <v>1133</v>
      </c>
    </row>
    <row r="11" spans="1:10" x14ac:dyDescent="0.2">
      <c r="A11" t="s">
        <v>11</v>
      </c>
      <c r="B11" s="1" t="s">
        <v>43</v>
      </c>
      <c r="C11" s="1"/>
      <c r="D11" s="1"/>
      <c r="E11" s="1" t="s">
        <v>1133</v>
      </c>
      <c r="F11">
        <v>3</v>
      </c>
      <c r="G11" t="s">
        <v>1052</v>
      </c>
      <c r="H11">
        <v>8</v>
      </c>
      <c r="I11" t="s">
        <v>1132</v>
      </c>
    </row>
    <row r="12" spans="1:10" x14ac:dyDescent="0.2">
      <c r="A12" t="s">
        <v>12</v>
      </c>
      <c r="B12" s="1" t="s">
        <v>43</v>
      </c>
      <c r="C12" s="1"/>
      <c r="D12" s="1"/>
      <c r="E12" s="1" t="s">
        <v>1133</v>
      </c>
      <c r="F12">
        <v>3</v>
      </c>
      <c r="G12" t="s">
        <v>1052</v>
      </c>
      <c r="H12">
        <v>12</v>
      </c>
      <c r="I12" t="s">
        <v>1132</v>
      </c>
    </row>
    <row r="13" spans="1:10" x14ac:dyDescent="0.2">
      <c r="A13" t="s">
        <v>62</v>
      </c>
      <c r="B13" s="1" t="s">
        <v>44</v>
      </c>
      <c r="C13" s="1"/>
      <c r="D13" s="1"/>
      <c r="E13" s="1" t="s">
        <v>1133</v>
      </c>
      <c r="F13">
        <v>4</v>
      </c>
      <c r="G13" t="s">
        <v>1053</v>
      </c>
      <c r="H13">
        <v>15</v>
      </c>
      <c r="I13" t="s">
        <v>1132</v>
      </c>
    </row>
    <row r="14" spans="1:10" x14ac:dyDescent="0.2">
      <c r="A14" t="s">
        <v>13</v>
      </c>
      <c r="B14" s="1" t="s">
        <v>44</v>
      </c>
      <c r="C14" s="1"/>
      <c r="D14" s="1"/>
      <c r="E14" s="1" t="s">
        <v>1133</v>
      </c>
      <c r="F14">
        <v>4</v>
      </c>
      <c r="G14" t="s">
        <v>1053</v>
      </c>
      <c r="H14">
        <v>18</v>
      </c>
      <c r="I14" t="s">
        <v>1132</v>
      </c>
    </row>
    <row r="15" spans="1:10" x14ac:dyDescent="0.2">
      <c r="A15" t="s">
        <v>14</v>
      </c>
      <c r="B15" s="1" t="s">
        <v>45</v>
      </c>
      <c r="C15" s="1"/>
      <c r="D15" s="1"/>
      <c r="E15" s="1" t="s">
        <v>1133</v>
      </c>
      <c r="F15">
        <v>5</v>
      </c>
      <c r="G15" t="s">
        <v>1052</v>
      </c>
      <c r="H15">
        <v>25</v>
      </c>
      <c r="I15" t="s">
        <v>1132</v>
      </c>
    </row>
    <row r="16" spans="1:10" x14ac:dyDescent="0.2">
      <c r="A16" t="s">
        <v>15</v>
      </c>
      <c r="B16" s="1" t="s">
        <v>45</v>
      </c>
      <c r="C16" s="1"/>
      <c r="D16" s="1"/>
      <c r="E16" s="1" t="s">
        <v>1133</v>
      </c>
      <c r="F16">
        <v>5</v>
      </c>
      <c r="G16" t="s">
        <v>1052</v>
      </c>
      <c r="H16">
        <v>30</v>
      </c>
      <c r="I16" t="s">
        <v>1132</v>
      </c>
    </row>
    <row r="17" spans="1:9" x14ac:dyDescent="0.2">
      <c r="A17" t="s">
        <v>16</v>
      </c>
      <c r="B17" s="1" t="s">
        <v>56</v>
      </c>
      <c r="C17" s="1" t="s">
        <v>57</v>
      </c>
      <c r="D17" s="1"/>
      <c r="E17" s="1" t="s">
        <v>1133</v>
      </c>
      <c r="F17">
        <v>2</v>
      </c>
      <c r="G17" t="s">
        <v>1052</v>
      </c>
      <c r="H17">
        <v>10</v>
      </c>
      <c r="I17" t="s">
        <v>1132</v>
      </c>
    </row>
    <row r="18" spans="1:9" x14ac:dyDescent="0.2">
      <c r="A18" t="s">
        <v>17</v>
      </c>
      <c r="B18" s="1" t="s">
        <v>43</v>
      </c>
      <c r="C18" s="1" t="s">
        <v>58</v>
      </c>
      <c r="D18" s="1"/>
      <c r="E18" s="1" t="s">
        <v>1133</v>
      </c>
      <c r="F18">
        <v>6</v>
      </c>
      <c r="G18" t="s">
        <v>1053</v>
      </c>
      <c r="H18">
        <v>25</v>
      </c>
      <c r="I18" t="s">
        <v>1132</v>
      </c>
    </row>
    <row r="19" spans="1:9" x14ac:dyDescent="0.2">
      <c r="A19" t="s">
        <v>41</v>
      </c>
      <c r="B19" s="1" t="s">
        <v>56</v>
      </c>
      <c r="C19" s="1"/>
      <c r="D19" s="1"/>
      <c r="E19" s="1" t="s">
        <v>1133</v>
      </c>
      <c r="F19">
        <v>1</v>
      </c>
      <c r="G19" t="s">
        <v>1052</v>
      </c>
      <c r="H19">
        <v>7</v>
      </c>
      <c r="I19" t="s">
        <v>1132</v>
      </c>
    </row>
    <row r="20" spans="1:9" x14ac:dyDescent="0.2">
      <c r="A20" t="s">
        <v>19</v>
      </c>
      <c r="B20" s="1" t="s">
        <v>43</v>
      </c>
      <c r="C20" s="1"/>
      <c r="D20" s="1"/>
      <c r="E20" s="1" t="s">
        <v>1133</v>
      </c>
      <c r="F20">
        <v>4</v>
      </c>
      <c r="G20" t="s">
        <v>1055</v>
      </c>
      <c r="H20" t="s">
        <v>1059</v>
      </c>
      <c r="I20" t="s">
        <v>1133</v>
      </c>
    </row>
    <row r="21" spans="1:9" x14ac:dyDescent="0.2">
      <c r="A21" t="s">
        <v>20</v>
      </c>
      <c r="B21" s="1" t="s">
        <v>45</v>
      </c>
      <c r="C21" s="1"/>
      <c r="D21" s="1"/>
      <c r="E21" s="1" t="s">
        <v>1133</v>
      </c>
      <c r="F21">
        <v>5</v>
      </c>
      <c r="G21" t="s">
        <v>1055</v>
      </c>
      <c r="H21" t="s">
        <v>1059</v>
      </c>
      <c r="I21" t="s">
        <v>1133</v>
      </c>
    </row>
    <row r="22" spans="1:9" x14ac:dyDescent="0.2">
      <c r="A22" t="s">
        <v>21</v>
      </c>
      <c r="B22" s="1" t="s">
        <v>44</v>
      </c>
      <c r="C22" s="1"/>
      <c r="D22" s="1"/>
      <c r="E22" s="1" t="s">
        <v>1133</v>
      </c>
      <c r="F22">
        <v>3</v>
      </c>
      <c r="G22" t="s">
        <v>1055</v>
      </c>
      <c r="H22" t="s">
        <v>1059</v>
      </c>
      <c r="I22" t="s">
        <v>1133</v>
      </c>
    </row>
    <row r="23" spans="1:9" x14ac:dyDescent="0.2">
      <c r="A23" t="s">
        <v>53</v>
      </c>
      <c r="B23" s="1" t="s">
        <v>54</v>
      </c>
      <c r="C23" s="1" t="s">
        <v>55</v>
      </c>
      <c r="D23" s="1"/>
      <c r="E23" s="1" t="s">
        <v>1132</v>
      </c>
      <c r="F23">
        <v>15</v>
      </c>
      <c r="G23" t="s">
        <v>1056</v>
      </c>
      <c r="H23" t="s">
        <v>1059</v>
      </c>
      <c r="I23" t="s">
        <v>1133</v>
      </c>
    </row>
    <row r="24" spans="1:9" x14ac:dyDescent="0.2">
      <c r="A24" t="s">
        <v>22</v>
      </c>
      <c r="B24" s="1" t="s">
        <v>45</v>
      </c>
      <c r="C24" s="1"/>
      <c r="D24" s="1"/>
      <c r="E24" s="1" t="s">
        <v>1133</v>
      </c>
      <c r="F24">
        <v>6</v>
      </c>
      <c r="G24" t="s">
        <v>1055</v>
      </c>
      <c r="H24" t="s">
        <v>1059</v>
      </c>
      <c r="I24" t="s">
        <v>1133</v>
      </c>
    </row>
    <row r="25" spans="1:9" x14ac:dyDescent="0.2">
      <c r="A25" t="s">
        <v>23</v>
      </c>
      <c r="B25" s="1" t="s">
        <v>43</v>
      </c>
      <c r="C25" s="1"/>
      <c r="D25" s="1"/>
      <c r="E25" s="1" t="s">
        <v>1133</v>
      </c>
      <c r="F25">
        <v>2</v>
      </c>
      <c r="G25" t="s">
        <v>1053</v>
      </c>
      <c r="H25">
        <v>13</v>
      </c>
      <c r="I25" t="s">
        <v>1132</v>
      </c>
    </row>
    <row r="26" spans="1:9" x14ac:dyDescent="0.2">
      <c r="A26" t="s">
        <v>24</v>
      </c>
      <c r="B26" s="1" t="s">
        <v>44</v>
      </c>
      <c r="C26" s="1"/>
      <c r="D26" s="1"/>
      <c r="E26" s="1" t="s">
        <v>1133</v>
      </c>
      <c r="F26">
        <v>3</v>
      </c>
      <c r="G26" t="s">
        <v>1053</v>
      </c>
      <c r="H26">
        <v>16</v>
      </c>
      <c r="I26" t="s">
        <v>1132</v>
      </c>
    </row>
    <row r="27" spans="1:9" x14ac:dyDescent="0.2">
      <c r="A27" t="s">
        <v>25</v>
      </c>
      <c r="B27" s="1" t="s">
        <v>43</v>
      </c>
      <c r="C27" s="1"/>
      <c r="D27" s="1"/>
      <c r="E27" s="1" t="s">
        <v>1133</v>
      </c>
      <c r="F27">
        <v>2</v>
      </c>
      <c r="G27" t="s">
        <v>1053</v>
      </c>
      <c r="H27">
        <v>14</v>
      </c>
      <c r="I27" t="s">
        <v>1132</v>
      </c>
    </row>
    <row r="28" spans="1:9" x14ac:dyDescent="0.2">
      <c r="A28" t="s">
        <v>26</v>
      </c>
      <c r="B28" s="1" t="s">
        <v>44</v>
      </c>
      <c r="C28" s="1"/>
      <c r="D28" s="1"/>
      <c r="E28" s="1" t="s">
        <v>1133</v>
      </c>
      <c r="F28">
        <v>8</v>
      </c>
      <c r="G28" t="s">
        <v>1055</v>
      </c>
      <c r="H28" t="s">
        <v>1059</v>
      </c>
      <c r="I28" t="s">
        <v>1133</v>
      </c>
    </row>
    <row r="29" spans="1:9" x14ac:dyDescent="0.2">
      <c r="A29" t="s">
        <v>27</v>
      </c>
      <c r="B29" s="1" t="s">
        <v>44</v>
      </c>
      <c r="C29" s="1"/>
      <c r="D29" s="1"/>
      <c r="E29" s="1" t="s">
        <v>1133</v>
      </c>
      <c r="F29">
        <v>7</v>
      </c>
      <c r="G29" t="s">
        <v>1055</v>
      </c>
      <c r="H29" t="s">
        <v>1059</v>
      </c>
      <c r="I29" t="s">
        <v>1133</v>
      </c>
    </row>
    <row r="30" spans="1:9" x14ac:dyDescent="0.2">
      <c r="A30" t="s">
        <v>28</v>
      </c>
      <c r="B30" s="1" t="s">
        <v>43</v>
      </c>
      <c r="C30" s="1" t="s">
        <v>64</v>
      </c>
      <c r="D30" s="1"/>
      <c r="E30" s="1" t="s">
        <v>1132</v>
      </c>
      <c r="F30">
        <v>8</v>
      </c>
      <c r="G30" t="s">
        <v>1055</v>
      </c>
      <c r="H30" t="s">
        <v>1059</v>
      </c>
      <c r="I30" t="s">
        <v>1133</v>
      </c>
    </row>
    <row r="31" spans="1:9" x14ac:dyDescent="0.2">
      <c r="A31" t="s">
        <v>29</v>
      </c>
      <c r="B31" s="1" t="s">
        <v>44</v>
      </c>
      <c r="C31" s="1"/>
      <c r="D31" s="1"/>
      <c r="E31" s="1" t="s">
        <v>1133</v>
      </c>
      <c r="F31">
        <v>7</v>
      </c>
      <c r="G31" t="s">
        <v>1055</v>
      </c>
      <c r="H31" t="s">
        <v>1059</v>
      </c>
      <c r="I31" t="s">
        <v>1133</v>
      </c>
    </row>
    <row r="32" spans="1:9" x14ac:dyDescent="0.2">
      <c r="A32" t="s">
        <v>30</v>
      </c>
      <c r="B32" s="1" t="s">
        <v>44</v>
      </c>
      <c r="C32" s="1"/>
      <c r="D32" s="1"/>
      <c r="E32" s="1" t="s">
        <v>1133</v>
      </c>
      <c r="F32">
        <v>8</v>
      </c>
      <c r="G32" t="s">
        <v>1055</v>
      </c>
      <c r="H32" t="s">
        <v>1059</v>
      </c>
      <c r="I32" t="s">
        <v>1133</v>
      </c>
    </row>
    <row r="33" spans="1:9" x14ac:dyDescent="0.2">
      <c r="A33" t="s">
        <v>31</v>
      </c>
      <c r="B33" s="1" t="s">
        <v>43</v>
      </c>
      <c r="C33" s="1"/>
      <c r="D33" s="1"/>
      <c r="E33" s="1" t="s">
        <v>1133</v>
      </c>
      <c r="F33">
        <v>8</v>
      </c>
      <c r="G33" t="s">
        <v>1055</v>
      </c>
      <c r="H33" t="s">
        <v>1059</v>
      </c>
      <c r="I33" t="s">
        <v>1133</v>
      </c>
    </row>
    <row r="34" spans="1:9" x14ac:dyDescent="0.2">
      <c r="A34" t="s">
        <v>32</v>
      </c>
      <c r="B34" s="1" t="s">
        <v>44</v>
      </c>
      <c r="C34" s="1" t="s">
        <v>65</v>
      </c>
      <c r="D34" s="1"/>
      <c r="E34" s="1" t="s">
        <v>1133</v>
      </c>
      <c r="F34">
        <v>8</v>
      </c>
      <c r="G34" t="s">
        <v>1055</v>
      </c>
      <c r="H34" t="s">
        <v>1059</v>
      </c>
      <c r="I34" t="s">
        <v>1133</v>
      </c>
    </row>
    <row r="35" spans="1:9" x14ac:dyDescent="0.2">
      <c r="A35" t="s">
        <v>33</v>
      </c>
      <c r="B35" s="1" t="s">
        <v>44</v>
      </c>
      <c r="C35" s="1"/>
      <c r="D35" s="1"/>
      <c r="E35" s="1" t="s">
        <v>1133</v>
      </c>
      <c r="F35">
        <v>8</v>
      </c>
      <c r="G35" t="s">
        <v>1055</v>
      </c>
      <c r="H35" t="s">
        <v>1059</v>
      </c>
      <c r="I35" t="s">
        <v>1133</v>
      </c>
    </row>
    <row r="36" spans="1:9" x14ac:dyDescent="0.2">
      <c r="B36" s="1"/>
      <c r="C36" s="1"/>
      <c r="D36" s="1"/>
      <c r="E36" s="1"/>
    </row>
    <row r="37" spans="1:9" x14ac:dyDescent="0.2">
      <c r="A37" t="s">
        <v>35</v>
      </c>
      <c r="B37" s="1" t="s">
        <v>43</v>
      </c>
      <c r="C37" s="1"/>
      <c r="D37" s="1"/>
      <c r="E37" s="1" t="s">
        <v>1133</v>
      </c>
      <c r="F37">
        <v>5</v>
      </c>
      <c r="G37" t="s">
        <v>1053</v>
      </c>
      <c r="H37">
        <v>35</v>
      </c>
      <c r="I37" t="s">
        <v>1132</v>
      </c>
    </row>
    <row r="38" spans="1:9" x14ac:dyDescent="0.2">
      <c r="A38" t="s">
        <v>60</v>
      </c>
      <c r="B38" s="1" t="s">
        <v>56</v>
      </c>
      <c r="C38" s="1" t="s">
        <v>59</v>
      </c>
      <c r="D38" s="1" t="s">
        <v>61</v>
      </c>
      <c r="E38" s="1" t="s">
        <v>1132</v>
      </c>
      <c r="F38">
        <v>5</v>
      </c>
      <c r="G38" s="1" t="s">
        <v>1053</v>
      </c>
      <c r="H38">
        <v>36</v>
      </c>
      <c r="I38" t="s">
        <v>1132</v>
      </c>
    </row>
    <row r="39" spans="1:9" x14ac:dyDescent="0.2">
      <c r="A39" s="3" t="s">
        <v>37</v>
      </c>
      <c r="B39" s="1"/>
      <c r="C39" s="1"/>
      <c r="D39" s="1"/>
      <c r="E39" s="1"/>
    </row>
    <row r="40" spans="1:9" x14ac:dyDescent="0.2">
      <c r="A40" t="s">
        <v>18</v>
      </c>
      <c r="B40" s="1" t="s">
        <v>56</v>
      </c>
      <c r="C40" s="1"/>
      <c r="D40" s="1"/>
      <c r="E40" s="1" t="s">
        <v>1133</v>
      </c>
      <c r="F40">
        <v>2</v>
      </c>
      <c r="G40" t="s">
        <v>1053</v>
      </c>
      <c r="H40">
        <v>12</v>
      </c>
      <c r="I40" t="s">
        <v>1132</v>
      </c>
    </row>
    <row r="41" spans="1:9" x14ac:dyDescent="0.2">
      <c r="A41" t="s">
        <v>38</v>
      </c>
      <c r="B41" s="1" t="s">
        <v>66</v>
      </c>
      <c r="C41" s="1"/>
      <c r="D41" s="1"/>
      <c r="E41" s="1" t="s">
        <v>1133</v>
      </c>
      <c r="F41">
        <v>1</v>
      </c>
      <c r="G41" t="s">
        <v>1052</v>
      </c>
      <c r="H41">
        <v>5</v>
      </c>
      <c r="I41" t="s">
        <v>1132</v>
      </c>
    </row>
    <row r="42" spans="1:9" x14ac:dyDescent="0.2">
      <c r="A42" t="s">
        <v>39</v>
      </c>
      <c r="B42" s="1" t="s">
        <v>66</v>
      </c>
      <c r="C42" s="1"/>
      <c r="D42" s="1"/>
      <c r="E42" s="1" t="s">
        <v>1133</v>
      </c>
      <c r="F42">
        <v>1</v>
      </c>
      <c r="G42" t="s">
        <v>1052</v>
      </c>
      <c r="H42">
        <v>3</v>
      </c>
      <c r="I42" t="s">
        <v>1132</v>
      </c>
    </row>
    <row r="43" spans="1:9" x14ac:dyDescent="0.2">
      <c r="A43" t="s">
        <v>40</v>
      </c>
      <c r="B43" s="1" t="s">
        <v>56</v>
      </c>
      <c r="C43" s="1"/>
      <c r="D43" s="1"/>
      <c r="E43" s="1" t="s">
        <v>1133</v>
      </c>
      <c r="F43">
        <v>1</v>
      </c>
      <c r="G43" t="s">
        <v>1052</v>
      </c>
      <c r="H43">
        <v>5</v>
      </c>
      <c r="I43" t="s">
        <v>1132</v>
      </c>
    </row>
    <row r="44" spans="1:9" x14ac:dyDescent="0.2">
      <c r="A44" t="s">
        <v>42</v>
      </c>
      <c r="B44" s="1" t="s">
        <v>56</v>
      </c>
      <c r="C44" s="1"/>
      <c r="D44" s="1"/>
      <c r="E44" s="1" t="s">
        <v>1133</v>
      </c>
      <c r="F44">
        <v>1</v>
      </c>
      <c r="G44" t="s">
        <v>1052</v>
      </c>
      <c r="H44">
        <v>7</v>
      </c>
      <c r="I44" t="s">
        <v>1132</v>
      </c>
    </row>
    <row r="45" spans="1:9" x14ac:dyDescent="0.2">
      <c r="A45" t="s">
        <v>34</v>
      </c>
      <c r="B45" s="1" t="s">
        <v>43</v>
      </c>
      <c r="C45" s="1"/>
      <c r="D45" s="1"/>
      <c r="E45" s="1" t="s">
        <v>1133</v>
      </c>
      <c r="F45">
        <v>2</v>
      </c>
      <c r="G45" t="s">
        <v>1053</v>
      </c>
      <c r="H45">
        <v>13</v>
      </c>
      <c r="I45" t="s">
        <v>1132</v>
      </c>
    </row>
    <row r="46" spans="1:9" x14ac:dyDescent="0.2">
      <c r="B46" s="1"/>
      <c r="C46" s="1"/>
      <c r="D46" s="1"/>
      <c r="E46" s="1"/>
    </row>
    <row r="47" spans="1:9" x14ac:dyDescent="0.2">
      <c r="A47" s="3" t="s">
        <v>67</v>
      </c>
      <c r="B47" s="1"/>
      <c r="C47" s="1"/>
      <c r="D47" s="1"/>
      <c r="E47" s="1"/>
    </row>
    <row r="48" spans="1:9" x14ac:dyDescent="0.2">
      <c r="A48" t="s">
        <v>68</v>
      </c>
      <c r="B48" s="1" t="s">
        <v>43</v>
      </c>
      <c r="C48" s="1"/>
      <c r="D48" s="1"/>
      <c r="E48" s="1" t="s">
        <v>1133</v>
      </c>
      <c r="F48">
        <v>1</v>
      </c>
      <c r="G48" t="s">
        <v>1052</v>
      </c>
      <c r="H48">
        <v>5</v>
      </c>
      <c r="I48" t="s">
        <v>1132</v>
      </c>
    </row>
    <row r="49" spans="1:9" x14ac:dyDescent="0.2">
      <c r="A49" t="s">
        <v>69</v>
      </c>
      <c r="B49" s="1" t="s">
        <v>56</v>
      </c>
      <c r="C49" s="1" t="s">
        <v>64</v>
      </c>
      <c r="D49" s="1"/>
      <c r="E49" s="1" t="s">
        <v>1133</v>
      </c>
      <c r="F49">
        <v>1</v>
      </c>
      <c r="G49" t="s">
        <v>1052</v>
      </c>
      <c r="H49">
        <v>7</v>
      </c>
      <c r="I49" t="s">
        <v>1132</v>
      </c>
    </row>
    <row r="50" spans="1:9" x14ac:dyDescent="0.2">
      <c r="A50" t="s">
        <v>70</v>
      </c>
      <c r="B50" s="1" t="s">
        <v>45</v>
      </c>
      <c r="C50" s="1"/>
      <c r="D50" s="1"/>
      <c r="E50" s="1" t="s">
        <v>1133</v>
      </c>
      <c r="F50">
        <v>1</v>
      </c>
      <c r="G50" t="s">
        <v>1052</v>
      </c>
      <c r="H50">
        <v>14</v>
      </c>
      <c r="I50" t="s">
        <v>1132</v>
      </c>
    </row>
    <row r="51" spans="1:9" x14ac:dyDescent="0.2">
      <c r="B51" s="1"/>
      <c r="C51" s="1"/>
      <c r="D51" s="1"/>
      <c r="E51" s="1"/>
    </row>
    <row r="52" spans="1:9" x14ac:dyDescent="0.2">
      <c r="A52" s="3" t="s">
        <v>71</v>
      </c>
      <c r="B52" s="1"/>
      <c r="C52" s="1"/>
      <c r="D52" s="1"/>
      <c r="E52" s="1"/>
    </row>
    <row r="53" spans="1:9" x14ac:dyDescent="0.2">
      <c r="A53" t="s">
        <v>72</v>
      </c>
      <c r="B53" s="1" t="s">
        <v>45</v>
      </c>
      <c r="C53" s="1" t="s">
        <v>51</v>
      </c>
      <c r="D53" s="1"/>
      <c r="E53" s="1" t="s">
        <v>1132</v>
      </c>
      <c r="F53">
        <v>2</v>
      </c>
      <c r="G53" t="s">
        <v>1053</v>
      </c>
      <c r="H53">
        <v>16</v>
      </c>
      <c r="I53" t="s">
        <v>1132</v>
      </c>
    </row>
    <row r="54" spans="1:9" x14ac:dyDescent="0.2">
      <c r="A54" t="s">
        <v>73</v>
      </c>
      <c r="B54" s="1" t="s">
        <v>43</v>
      </c>
      <c r="C54" s="1"/>
      <c r="D54" s="1"/>
      <c r="E54" s="1" t="s">
        <v>1133</v>
      </c>
      <c r="F54">
        <v>1</v>
      </c>
      <c r="G54" t="s">
        <v>1052</v>
      </c>
      <c r="H54">
        <v>7</v>
      </c>
      <c r="I54" t="s">
        <v>1132</v>
      </c>
    </row>
    <row r="55" spans="1:9" x14ac:dyDescent="0.2">
      <c r="A55" t="s">
        <v>74</v>
      </c>
      <c r="B55" s="1" t="s">
        <v>44</v>
      </c>
      <c r="C55" s="1"/>
      <c r="D55" s="1"/>
      <c r="E55" s="1" t="s">
        <v>1133</v>
      </c>
      <c r="F55">
        <v>1</v>
      </c>
      <c r="G55" t="s">
        <v>1052</v>
      </c>
      <c r="H55">
        <v>9</v>
      </c>
      <c r="I55" t="s">
        <v>1132</v>
      </c>
    </row>
    <row r="56" spans="1:9" x14ac:dyDescent="0.2">
      <c r="A56" t="s">
        <v>75</v>
      </c>
      <c r="B56" s="1" t="s">
        <v>44</v>
      </c>
      <c r="C56" s="1"/>
      <c r="D56" s="1"/>
      <c r="E56" s="1" t="s">
        <v>1133</v>
      </c>
      <c r="F56">
        <v>1</v>
      </c>
      <c r="G56" t="s">
        <v>1052</v>
      </c>
      <c r="H56">
        <v>8</v>
      </c>
      <c r="I56" t="s">
        <v>1132</v>
      </c>
    </row>
    <row r="57" spans="1:9" x14ac:dyDescent="0.2">
      <c r="A57" t="s">
        <v>76</v>
      </c>
      <c r="B57" s="1" t="s">
        <v>44</v>
      </c>
      <c r="C57" s="1"/>
      <c r="D57" s="1"/>
      <c r="E57" s="1" t="s">
        <v>1133</v>
      </c>
      <c r="F57">
        <v>1</v>
      </c>
      <c r="G57" t="s">
        <v>1052</v>
      </c>
      <c r="H57">
        <v>10</v>
      </c>
      <c r="I57" t="s">
        <v>1132</v>
      </c>
    </row>
    <row r="58" spans="1:9" x14ac:dyDescent="0.2">
      <c r="B58" s="1"/>
      <c r="C58" s="1"/>
      <c r="D58" s="1"/>
      <c r="E58" s="1"/>
    </row>
    <row r="59" spans="1:9" x14ac:dyDescent="0.2">
      <c r="A59" s="3" t="s">
        <v>77</v>
      </c>
      <c r="B59" s="1"/>
      <c r="C59" s="1"/>
      <c r="D59" s="1"/>
      <c r="E59" s="1"/>
    </row>
    <row r="60" spans="1:9" x14ac:dyDescent="0.2">
      <c r="A60" t="s">
        <v>78</v>
      </c>
      <c r="B60" s="1" t="s">
        <v>43</v>
      </c>
      <c r="C60" s="1"/>
      <c r="D60" s="1"/>
      <c r="E60" s="1" t="s">
        <v>1133</v>
      </c>
      <c r="F60">
        <v>1</v>
      </c>
      <c r="G60" t="s">
        <v>1052</v>
      </c>
      <c r="H60">
        <v>6</v>
      </c>
      <c r="I60" t="s">
        <v>1132</v>
      </c>
    </row>
    <row r="61" spans="1:9" x14ac:dyDescent="0.2">
      <c r="A61" t="s">
        <v>79</v>
      </c>
      <c r="B61" s="1" t="s">
        <v>56</v>
      </c>
      <c r="C61" s="1" t="s">
        <v>64</v>
      </c>
      <c r="D61" s="1"/>
      <c r="E61" s="1" t="s">
        <v>1133</v>
      </c>
      <c r="F61">
        <v>1</v>
      </c>
      <c r="G61" t="s">
        <v>1052</v>
      </c>
      <c r="H61">
        <v>7</v>
      </c>
      <c r="I61" t="s">
        <v>1132</v>
      </c>
    </row>
    <row r="62" spans="1:9" x14ac:dyDescent="0.2">
      <c r="B62" s="1"/>
      <c r="C62" s="1"/>
      <c r="D62" s="1"/>
      <c r="E62" s="1"/>
    </row>
    <row r="63" spans="1:9" x14ac:dyDescent="0.2">
      <c r="B63" s="1"/>
      <c r="C63" s="1"/>
      <c r="D63" s="1"/>
      <c r="E63" s="1"/>
    </row>
    <row r="64" spans="1:9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690AA-0666-CF4B-9E81-7FA91F450819}">
  <dimension ref="A1:H58"/>
  <sheetViews>
    <sheetView topLeftCell="A18" zoomScale="120" zoomScaleNormal="120" workbookViewId="0">
      <selection activeCell="E29" sqref="E29:E30"/>
    </sheetView>
  </sheetViews>
  <sheetFormatPr baseColWidth="10" defaultRowHeight="16" x14ac:dyDescent="0.2"/>
  <cols>
    <col min="1" max="1" width="13.5" bestFit="1" customWidth="1"/>
    <col min="3" max="3" width="11.5" bestFit="1" customWidth="1"/>
    <col min="4" max="4" width="51.6640625" customWidth="1"/>
  </cols>
  <sheetData>
    <row r="1" spans="1:8" x14ac:dyDescent="0.2">
      <c r="A1" s="50" t="s">
        <v>1134</v>
      </c>
      <c r="B1" s="50"/>
      <c r="C1" s="50"/>
      <c r="D1" s="50"/>
      <c r="E1" s="50"/>
      <c r="F1" s="50"/>
    </row>
    <row r="2" spans="1:8" x14ac:dyDescent="0.2">
      <c r="A2" s="3" t="s">
        <v>1144</v>
      </c>
      <c r="B2" s="3" t="s">
        <v>1149</v>
      </c>
      <c r="C2" s="3" t="s">
        <v>1135</v>
      </c>
      <c r="D2" s="3" t="s">
        <v>1138</v>
      </c>
      <c r="E2" s="3" t="s">
        <v>1141</v>
      </c>
      <c r="F2" s="3" t="s">
        <v>1145</v>
      </c>
    </row>
    <row r="3" spans="1:8" x14ac:dyDescent="0.2">
      <c r="A3" s="35" t="s">
        <v>1136</v>
      </c>
      <c r="B3" s="35" t="s">
        <v>1150</v>
      </c>
      <c r="C3" s="35">
        <v>1</v>
      </c>
      <c r="D3" s="35" t="s">
        <v>1139</v>
      </c>
      <c r="E3" s="14"/>
      <c r="F3" s="36" t="s">
        <v>1081</v>
      </c>
      <c r="G3" s="35" t="s">
        <v>1076</v>
      </c>
    </row>
    <row r="4" spans="1:8" x14ac:dyDescent="0.2">
      <c r="A4" s="35" t="s">
        <v>1137</v>
      </c>
      <c r="B4" s="35" t="s">
        <v>1151</v>
      </c>
      <c r="C4" s="35">
        <v>2</v>
      </c>
      <c r="D4" s="35" t="s">
        <v>1140</v>
      </c>
      <c r="E4" s="14">
        <f>2 + (7 *1.5)</f>
        <v>12.5</v>
      </c>
      <c r="F4" s="36" t="s">
        <v>1081</v>
      </c>
      <c r="G4" s="35" t="s">
        <v>1077</v>
      </c>
    </row>
    <row r="5" spans="1:8" x14ac:dyDescent="0.2">
      <c r="A5" s="35" t="s">
        <v>1142</v>
      </c>
      <c r="B5" s="35" t="s">
        <v>1091</v>
      </c>
      <c r="C5" s="35">
        <v>5</v>
      </c>
      <c r="D5" s="35" t="s">
        <v>1143</v>
      </c>
      <c r="E5" s="14">
        <f>5+ (12 *2.5)</f>
        <v>35</v>
      </c>
      <c r="F5" s="36" t="s">
        <v>44</v>
      </c>
      <c r="G5" s="35" t="s">
        <v>1078</v>
      </c>
    </row>
    <row r="6" spans="1:8" x14ac:dyDescent="0.2">
      <c r="A6" s="35"/>
      <c r="B6" s="35"/>
      <c r="C6" s="35"/>
      <c r="D6" s="35"/>
      <c r="E6" s="14"/>
      <c r="F6" s="36"/>
      <c r="G6" s="35" t="s">
        <v>1079</v>
      </c>
    </row>
    <row r="7" spans="1:8" x14ac:dyDescent="0.2">
      <c r="A7" s="35" t="s">
        <v>1146</v>
      </c>
      <c r="B7" s="35" t="s">
        <v>1152</v>
      </c>
      <c r="C7" s="35">
        <v>3</v>
      </c>
      <c r="D7" s="35" t="s">
        <v>1147</v>
      </c>
      <c r="E7" s="14">
        <f>((5/2)*0.25*(9+(7*1.25)))</f>
        <v>11.09375</v>
      </c>
      <c r="F7" s="36" t="s">
        <v>43</v>
      </c>
      <c r="G7" s="51"/>
      <c r="H7" t="s">
        <v>1180</v>
      </c>
    </row>
    <row r="8" spans="1:8" x14ac:dyDescent="0.2">
      <c r="A8" s="35"/>
      <c r="B8" s="35"/>
      <c r="C8" s="35"/>
      <c r="D8" s="35"/>
      <c r="E8" s="14"/>
      <c r="F8" s="36"/>
    </row>
    <row r="9" spans="1:8" x14ac:dyDescent="0.2">
      <c r="A9" s="35"/>
      <c r="B9" s="35"/>
      <c r="C9" s="35"/>
      <c r="D9" s="35"/>
      <c r="E9" s="14"/>
      <c r="F9" s="36"/>
    </row>
    <row r="10" spans="1:8" x14ac:dyDescent="0.2">
      <c r="A10" s="35"/>
      <c r="B10" s="35"/>
      <c r="C10" s="35"/>
      <c r="D10" s="35"/>
      <c r="E10" s="14"/>
      <c r="F10" s="36"/>
    </row>
    <row r="11" spans="1:8" x14ac:dyDescent="0.2">
      <c r="A11" s="35"/>
      <c r="B11" s="35"/>
      <c r="C11" s="35"/>
      <c r="D11" s="35"/>
      <c r="E11" s="14"/>
      <c r="F11" s="36"/>
    </row>
    <row r="12" spans="1:8" x14ac:dyDescent="0.2">
      <c r="A12" s="35"/>
      <c r="B12" s="35"/>
      <c r="C12" s="35"/>
      <c r="D12" s="35"/>
      <c r="E12" s="14"/>
      <c r="F12" s="36"/>
    </row>
    <row r="13" spans="1:8" x14ac:dyDescent="0.2">
      <c r="A13" s="35"/>
      <c r="B13" s="35"/>
      <c r="C13" s="35"/>
      <c r="D13" s="35"/>
      <c r="E13" s="14"/>
      <c r="F13" s="36"/>
    </row>
    <row r="14" spans="1:8" x14ac:dyDescent="0.2">
      <c r="A14" s="35"/>
      <c r="B14" s="35"/>
      <c r="C14" s="35"/>
      <c r="D14" s="35"/>
      <c r="E14" s="14"/>
      <c r="F14" s="36"/>
    </row>
    <row r="15" spans="1:8" x14ac:dyDescent="0.2">
      <c r="A15" s="35"/>
      <c r="B15" s="35"/>
      <c r="C15" s="35"/>
      <c r="D15" s="35"/>
      <c r="E15" s="14"/>
      <c r="F15" s="36"/>
    </row>
    <row r="16" spans="1:8" x14ac:dyDescent="0.2">
      <c r="A16" s="35"/>
      <c r="B16" s="35"/>
      <c r="C16" s="35"/>
      <c r="D16" s="35"/>
      <c r="E16" s="14"/>
      <c r="F16" s="36"/>
    </row>
    <row r="17" spans="1:6" x14ac:dyDescent="0.2">
      <c r="A17" s="35"/>
      <c r="B17" s="35"/>
      <c r="C17" s="35"/>
      <c r="D17" s="35"/>
      <c r="E17" s="14"/>
      <c r="F17" s="36"/>
    </row>
    <row r="18" spans="1:6" x14ac:dyDescent="0.2">
      <c r="A18" s="35"/>
      <c r="B18" s="35"/>
      <c r="C18" s="35"/>
      <c r="D18" s="35" t="s">
        <v>1175</v>
      </c>
      <c r="E18" s="14"/>
      <c r="F18" s="36"/>
    </row>
    <row r="19" spans="1:6" x14ac:dyDescent="0.2">
      <c r="A19" s="35" t="s">
        <v>1155</v>
      </c>
      <c r="B19" s="35" t="s">
        <v>1153</v>
      </c>
      <c r="C19" s="35">
        <v>1</v>
      </c>
      <c r="D19" s="35" t="s">
        <v>1154</v>
      </c>
      <c r="E19" s="14">
        <v>-10</v>
      </c>
      <c r="F19" s="36" t="s">
        <v>66</v>
      </c>
    </row>
    <row r="20" spans="1:6" x14ac:dyDescent="0.2">
      <c r="A20" s="35" t="s">
        <v>1156</v>
      </c>
      <c r="B20" s="35" t="s">
        <v>1157</v>
      </c>
      <c r="C20" s="35">
        <v>4</v>
      </c>
      <c r="D20" s="35" t="s">
        <v>1158</v>
      </c>
      <c r="E20" s="14">
        <v>-20</v>
      </c>
      <c r="F20" s="36" t="s">
        <v>66</v>
      </c>
    </row>
    <row r="21" spans="1:6" x14ac:dyDescent="0.2">
      <c r="A21" s="35" t="s">
        <v>1148</v>
      </c>
      <c r="B21" s="35" t="s">
        <v>1159</v>
      </c>
      <c r="C21" s="35">
        <v>1</v>
      </c>
      <c r="D21" s="35" t="s">
        <v>1176</v>
      </c>
      <c r="E21" s="52">
        <f>1 + (2*0.5)</f>
        <v>2</v>
      </c>
      <c r="F21" s="36" t="s">
        <v>66</v>
      </c>
    </row>
    <row r="22" spans="1:6" x14ac:dyDescent="0.2">
      <c r="A22" s="35" t="s">
        <v>1160</v>
      </c>
      <c r="B22" s="35" t="s">
        <v>1161</v>
      </c>
      <c r="C22" s="35">
        <v>3</v>
      </c>
      <c r="D22" s="35" t="s">
        <v>1177</v>
      </c>
      <c r="E22" s="52">
        <f>2 + (4*0.5)</f>
        <v>4</v>
      </c>
      <c r="F22" s="36" t="s">
        <v>66</v>
      </c>
    </row>
    <row r="23" spans="1:6" x14ac:dyDescent="0.2">
      <c r="A23" s="35" t="s">
        <v>1162</v>
      </c>
      <c r="B23" s="35" t="s">
        <v>1164</v>
      </c>
      <c r="C23" s="35">
        <v>1</v>
      </c>
      <c r="D23" s="35" t="s">
        <v>1178</v>
      </c>
      <c r="E23" s="52">
        <v>3</v>
      </c>
      <c r="F23" s="36" t="s">
        <v>66</v>
      </c>
    </row>
    <row r="24" spans="1:6" x14ac:dyDescent="0.2">
      <c r="A24" s="35" t="s">
        <v>1163</v>
      </c>
      <c r="B24" s="35" t="s">
        <v>1165</v>
      </c>
      <c r="C24" s="35">
        <v>5</v>
      </c>
      <c r="D24" s="35" t="s">
        <v>1179</v>
      </c>
      <c r="E24" s="52">
        <v>10</v>
      </c>
      <c r="F24" s="36" t="s">
        <v>66</v>
      </c>
    </row>
    <row r="25" spans="1:6" x14ac:dyDescent="0.2">
      <c r="A25" s="35" t="s">
        <v>1166</v>
      </c>
      <c r="B25" s="35" t="s">
        <v>1167</v>
      </c>
      <c r="C25" s="35">
        <v>3</v>
      </c>
      <c r="D25" s="35" t="s">
        <v>1168</v>
      </c>
      <c r="E25" s="14" t="s">
        <v>1169</v>
      </c>
      <c r="F25" s="36" t="s">
        <v>66</v>
      </c>
    </row>
    <row r="26" spans="1:6" x14ac:dyDescent="0.2">
      <c r="A26" s="35"/>
      <c r="B26" s="35"/>
      <c r="C26" s="35"/>
      <c r="D26" s="35"/>
      <c r="E26" s="14"/>
      <c r="F26" s="36"/>
    </row>
    <row r="27" spans="1:6" x14ac:dyDescent="0.2">
      <c r="A27" s="35"/>
      <c r="B27" s="35"/>
      <c r="C27" s="35"/>
      <c r="D27" s="35"/>
      <c r="E27" s="14"/>
      <c r="F27" s="36"/>
    </row>
    <row r="28" spans="1:6" x14ac:dyDescent="0.2">
      <c r="A28" s="35"/>
      <c r="B28" s="35"/>
      <c r="C28" s="35"/>
      <c r="D28" s="35"/>
      <c r="E28" s="14"/>
      <c r="F28" s="36"/>
    </row>
    <row r="29" spans="1:6" x14ac:dyDescent="0.2">
      <c r="A29" s="35"/>
      <c r="B29" s="35"/>
      <c r="C29" s="35"/>
      <c r="D29" s="35"/>
      <c r="E29" s="14"/>
      <c r="F29" s="36"/>
    </row>
    <row r="30" spans="1:6" x14ac:dyDescent="0.2">
      <c r="A30" s="35"/>
      <c r="B30" s="35"/>
      <c r="C30" s="35"/>
      <c r="D30" s="35"/>
      <c r="E30" s="14"/>
      <c r="F30" s="36"/>
    </row>
    <row r="31" spans="1:6" x14ac:dyDescent="0.2">
      <c r="A31" s="35"/>
      <c r="B31" s="35"/>
      <c r="C31" s="35"/>
      <c r="D31" s="35"/>
      <c r="E31" s="14"/>
      <c r="F31" s="36"/>
    </row>
    <row r="32" spans="1:6" x14ac:dyDescent="0.2">
      <c r="A32" s="35"/>
      <c r="B32" s="35"/>
      <c r="C32" s="35"/>
      <c r="D32" s="35"/>
      <c r="E32" s="14"/>
      <c r="F32" s="36"/>
    </row>
    <row r="33" spans="1:6" x14ac:dyDescent="0.2">
      <c r="A33" s="35"/>
      <c r="B33" s="35"/>
      <c r="C33" s="35"/>
      <c r="D33" s="35"/>
      <c r="E33" s="14"/>
      <c r="F33" s="36"/>
    </row>
    <row r="34" spans="1:6" x14ac:dyDescent="0.2">
      <c r="A34" s="35"/>
      <c r="B34" s="35"/>
      <c r="C34" s="35"/>
      <c r="D34" s="35"/>
      <c r="E34" s="14"/>
      <c r="F34" s="36"/>
    </row>
    <row r="35" spans="1:6" x14ac:dyDescent="0.2">
      <c r="A35" s="35"/>
      <c r="B35" s="35"/>
      <c r="C35" s="35"/>
      <c r="D35" s="35"/>
      <c r="E35" s="14"/>
      <c r="F35" s="36"/>
    </row>
    <row r="36" spans="1:6" x14ac:dyDescent="0.2">
      <c r="A36" s="35" t="s">
        <v>1170</v>
      </c>
      <c r="B36" s="35"/>
      <c r="C36" s="35"/>
      <c r="D36" s="35" t="s">
        <v>1174</v>
      </c>
      <c r="E36" s="53"/>
      <c r="F36" s="36"/>
    </row>
    <row r="37" spans="1:6" x14ac:dyDescent="0.2">
      <c r="A37" s="35" t="s">
        <v>1172</v>
      </c>
      <c r="B37" s="35" t="s">
        <v>1171</v>
      </c>
      <c r="C37" s="35">
        <v>5</v>
      </c>
      <c r="D37" s="35" t="s">
        <v>1173</v>
      </c>
      <c r="E37" s="53"/>
      <c r="F37" s="36"/>
    </row>
    <row r="38" spans="1:6" x14ac:dyDescent="0.2">
      <c r="A38" s="35"/>
      <c r="B38" s="35"/>
      <c r="C38" s="35"/>
      <c r="D38" s="35"/>
      <c r="E38" s="14"/>
      <c r="F38" s="36"/>
    </row>
    <row r="39" spans="1:6" x14ac:dyDescent="0.2">
      <c r="A39" s="35"/>
      <c r="B39" s="35"/>
      <c r="C39" s="35"/>
      <c r="D39" s="35"/>
      <c r="E39" s="14"/>
      <c r="F39" s="36"/>
    </row>
    <row r="40" spans="1:6" x14ac:dyDescent="0.2">
      <c r="A40" s="35"/>
      <c r="B40" s="35"/>
      <c r="C40" s="35"/>
      <c r="D40" s="35"/>
      <c r="E40" s="14"/>
      <c r="F40" s="36"/>
    </row>
    <row r="41" spans="1:6" x14ac:dyDescent="0.2">
      <c r="A41" s="35"/>
      <c r="B41" s="35"/>
      <c r="C41" s="35"/>
      <c r="D41" s="35"/>
      <c r="E41" s="14"/>
      <c r="F41" s="36"/>
    </row>
    <row r="42" spans="1:6" x14ac:dyDescent="0.2">
      <c r="A42" s="35"/>
      <c r="B42" s="35"/>
      <c r="C42" s="35"/>
      <c r="D42" s="35"/>
      <c r="E42" s="14"/>
      <c r="F42" s="36"/>
    </row>
    <row r="43" spans="1:6" x14ac:dyDescent="0.2">
      <c r="A43" s="35"/>
      <c r="B43" s="35"/>
      <c r="C43" s="35"/>
      <c r="D43" s="35"/>
      <c r="E43" s="14"/>
      <c r="F43" s="36"/>
    </row>
    <row r="44" spans="1:6" x14ac:dyDescent="0.2">
      <c r="A44" s="35"/>
      <c r="B44" s="35"/>
      <c r="C44" s="35"/>
      <c r="D44" s="35"/>
      <c r="E44" s="14"/>
      <c r="F44" s="36"/>
    </row>
    <row r="45" spans="1:6" x14ac:dyDescent="0.2">
      <c r="A45" s="35"/>
      <c r="B45" s="35"/>
      <c r="C45" s="35"/>
      <c r="D45" s="35"/>
      <c r="E45" s="14"/>
      <c r="F45" s="36"/>
    </row>
    <row r="46" spans="1:6" x14ac:dyDescent="0.2">
      <c r="A46" s="35"/>
      <c r="B46" s="35"/>
      <c r="C46" s="35"/>
      <c r="D46" s="35"/>
      <c r="E46" s="14"/>
      <c r="F46" s="36"/>
    </row>
    <row r="47" spans="1:6" x14ac:dyDescent="0.2">
      <c r="A47" s="35"/>
      <c r="B47" s="35"/>
      <c r="C47" s="35"/>
      <c r="D47" s="35"/>
      <c r="E47" s="14"/>
      <c r="F47" s="36"/>
    </row>
    <row r="48" spans="1:6" x14ac:dyDescent="0.2">
      <c r="A48" s="35"/>
      <c r="B48" s="35"/>
      <c r="C48" s="35"/>
      <c r="D48" s="35"/>
      <c r="E48" s="14"/>
      <c r="F48" s="36"/>
    </row>
    <row r="49" spans="1:6" x14ac:dyDescent="0.2">
      <c r="A49" s="35"/>
      <c r="B49" s="35"/>
      <c r="C49" s="35"/>
      <c r="D49" s="35"/>
      <c r="E49" s="14"/>
      <c r="F49" s="36"/>
    </row>
    <row r="50" spans="1:6" x14ac:dyDescent="0.2">
      <c r="A50" s="35"/>
      <c r="B50" s="35"/>
      <c r="C50" s="35"/>
      <c r="D50" s="35"/>
      <c r="E50" s="14"/>
      <c r="F50" s="36"/>
    </row>
    <row r="51" spans="1:6" x14ac:dyDescent="0.2">
      <c r="A51" s="35"/>
      <c r="B51" s="35"/>
      <c r="C51" s="35"/>
      <c r="D51" s="35"/>
      <c r="E51" s="14"/>
      <c r="F51" s="36"/>
    </row>
    <row r="52" spans="1:6" x14ac:dyDescent="0.2">
      <c r="A52" s="35"/>
      <c r="B52" s="35"/>
      <c r="C52" s="35"/>
      <c r="D52" s="35"/>
      <c r="E52" s="14"/>
      <c r="F52" s="36"/>
    </row>
    <row r="53" spans="1:6" x14ac:dyDescent="0.2">
      <c r="A53" s="35"/>
      <c r="B53" s="35"/>
      <c r="C53" s="35"/>
      <c r="D53" s="35"/>
      <c r="E53" s="14"/>
      <c r="F53" s="36"/>
    </row>
    <row r="54" spans="1:6" x14ac:dyDescent="0.2">
      <c r="A54" s="35"/>
      <c r="B54" s="35"/>
      <c r="C54" s="35"/>
      <c r="D54" s="35"/>
      <c r="E54" s="14"/>
      <c r="F54" s="36"/>
    </row>
    <row r="55" spans="1:6" x14ac:dyDescent="0.2">
      <c r="A55" s="35"/>
      <c r="B55" s="35"/>
      <c r="C55" s="35"/>
      <c r="D55" s="35"/>
      <c r="E55" s="14"/>
      <c r="F55" s="36"/>
    </row>
    <row r="56" spans="1:6" x14ac:dyDescent="0.2">
      <c r="A56" s="35"/>
      <c r="B56" s="35"/>
      <c r="C56" s="35"/>
      <c r="D56" s="35"/>
      <c r="E56" s="14"/>
      <c r="F56" s="35"/>
    </row>
    <row r="57" spans="1:6" x14ac:dyDescent="0.2">
      <c r="A57" s="35"/>
      <c r="B57" s="35"/>
      <c r="C57" s="35"/>
      <c r="D57" s="35"/>
      <c r="E57" s="14"/>
      <c r="F57" s="35"/>
    </row>
    <row r="58" spans="1:6" x14ac:dyDescent="0.2">
      <c r="A58" s="35"/>
      <c r="B58" s="35"/>
      <c r="C58" s="35"/>
      <c r="D58" s="35"/>
      <c r="E58" s="35"/>
      <c r="F58" s="35"/>
    </row>
  </sheetData>
  <mergeCells count="1">
    <mergeCell ref="A1: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D37C-2179-EC45-9CE2-E1B6D291493D}">
  <dimension ref="A1:F93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14" bestFit="1" customWidth="1"/>
    <col min="3" max="3" width="11.83203125" bestFit="1" customWidth="1"/>
    <col min="4" max="4" width="12.1640625" bestFit="1" customWidth="1"/>
  </cols>
  <sheetData>
    <row r="1" spans="1:6" ht="29" x14ac:dyDescent="0.35">
      <c r="A1" s="40" t="s">
        <v>1036</v>
      </c>
      <c r="B1" s="40"/>
      <c r="C1" s="40"/>
      <c r="D1" s="40"/>
      <c r="E1" s="40"/>
    </row>
    <row r="2" spans="1:6" x14ac:dyDescent="0.2">
      <c r="A2" s="3" t="s">
        <v>1040</v>
      </c>
      <c r="B2" s="3" t="s">
        <v>1038</v>
      </c>
      <c r="C2" s="3" t="s">
        <v>1039</v>
      </c>
      <c r="D2" s="3" t="s">
        <v>1039</v>
      </c>
      <c r="E2" s="3" t="s">
        <v>1039</v>
      </c>
      <c r="F2" s="3" t="s">
        <v>1049</v>
      </c>
    </row>
    <row r="3" spans="1:6" x14ac:dyDescent="0.2">
      <c r="A3" t="s">
        <v>1037</v>
      </c>
      <c r="B3" s="36" t="s">
        <v>1057</v>
      </c>
      <c r="C3" s="36" t="s">
        <v>1041</v>
      </c>
      <c r="D3" s="36" t="s">
        <v>1048</v>
      </c>
      <c r="E3" s="36"/>
      <c r="F3">
        <v>2500</v>
      </c>
    </row>
    <row r="4" spans="1:6" x14ac:dyDescent="0.2">
      <c r="A4" t="s">
        <v>1042</v>
      </c>
      <c r="B4" s="36" t="s">
        <v>1057</v>
      </c>
      <c r="C4" s="36" t="s">
        <v>1043</v>
      </c>
      <c r="D4" s="36" t="s">
        <v>1044</v>
      </c>
      <c r="E4" s="36"/>
      <c r="F4">
        <v>2500</v>
      </c>
    </row>
    <row r="5" spans="1:6" x14ac:dyDescent="0.2">
      <c r="A5" t="s">
        <v>1045</v>
      </c>
      <c r="B5" s="36" t="s">
        <v>1057</v>
      </c>
      <c r="C5" s="36" t="s">
        <v>1046</v>
      </c>
      <c r="D5" s="36" t="s">
        <v>1047</v>
      </c>
      <c r="E5" s="36"/>
      <c r="F5">
        <v>2500</v>
      </c>
    </row>
    <row r="6" spans="1:6" x14ac:dyDescent="0.2">
      <c r="B6" s="36"/>
      <c r="C6" s="36"/>
      <c r="D6" s="36"/>
      <c r="E6" s="36"/>
    </row>
    <row r="7" spans="1:6" x14ac:dyDescent="0.2">
      <c r="B7" s="36"/>
      <c r="C7" s="36"/>
      <c r="D7" s="36"/>
      <c r="E7" s="36"/>
    </row>
    <row r="8" spans="1:6" x14ac:dyDescent="0.2">
      <c r="B8" s="36"/>
      <c r="C8" s="36"/>
      <c r="D8" s="36"/>
      <c r="E8" s="36"/>
    </row>
    <row r="9" spans="1:6" x14ac:dyDescent="0.2">
      <c r="B9" s="36"/>
      <c r="C9" s="36"/>
      <c r="D9" s="36"/>
      <c r="E9" s="36"/>
    </row>
    <row r="10" spans="1:6" x14ac:dyDescent="0.2">
      <c r="B10" s="36"/>
      <c r="C10" s="36"/>
      <c r="D10" s="36"/>
      <c r="E10" s="36"/>
    </row>
    <row r="11" spans="1:6" x14ac:dyDescent="0.2">
      <c r="B11" s="36"/>
      <c r="C11" s="36"/>
      <c r="D11" s="36"/>
      <c r="E11" s="36"/>
    </row>
    <row r="12" spans="1:6" x14ac:dyDescent="0.2">
      <c r="B12" s="36"/>
      <c r="C12" s="36"/>
      <c r="D12" s="36"/>
      <c r="E12" s="36"/>
    </row>
    <row r="13" spans="1:6" x14ac:dyDescent="0.2">
      <c r="B13" s="36"/>
      <c r="C13" s="36"/>
      <c r="D13" s="36"/>
      <c r="E13" s="36"/>
    </row>
    <row r="14" spans="1:6" x14ac:dyDescent="0.2">
      <c r="B14" s="36"/>
      <c r="C14" s="36"/>
      <c r="D14" s="36"/>
      <c r="E14" s="36"/>
    </row>
    <row r="15" spans="1:6" x14ac:dyDescent="0.2">
      <c r="B15" s="36"/>
      <c r="C15" s="36"/>
      <c r="D15" s="36"/>
      <c r="E15" s="36"/>
    </row>
    <row r="16" spans="1:6" x14ac:dyDescent="0.2">
      <c r="B16" s="36"/>
      <c r="C16" s="36"/>
      <c r="D16" s="36"/>
      <c r="E16" s="36"/>
    </row>
    <row r="17" spans="2:5" x14ac:dyDescent="0.2">
      <c r="B17" s="36"/>
      <c r="C17" s="36"/>
      <c r="D17" s="36"/>
      <c r="E17" s="36"/>
    </row>
    <row r="18" spans="2:5" x14ac:dyDescent="0.2">
      <c r="B18" s="36"/>
      <c r="C18" s="36"/>
      <c r="D18" s="36"/>
      <c r="E18" s="36"/>
    </row>
    <row r="19" spans="2:5" x14ac:dyDescent="0.2">
      <c r="B19" s="36"/>
      <c r="C19" s="36"/>
      <c r="D19" s="36"/>
      <c r="E19" s="36"/>
    </row>
    <row r="20" spans="2:5" x14ac:dyDescent="0.2">
      <c r="B20" s="36"/>
      <c r="C20" s="36"/>
      <c r="D20" s="36"/>
      <c r="E20" s="36"/>
    </row>
    <row r="21" spans="2:5" x14ac:dyDescent="0.2">
      <c r="B21" s="36"/>
      <c r="C21" s="36"/>
      <c r="D21" s="36"/>
      <c r="E21" s="36"/>
    </row>
    <row r="22" spans="2:5" x14ac:dyDescent="0.2">
      <c r="B22" s="36"/>
      <c r="C22" s="36"/>
      <c r="D22" s="36"/>
      <c r="E22" s="36"/>
    </row>
    <row r="23" spans="2:5" x14ac:dyDescent="0.2">
      <c r="B23" s="36"/>
      <c r="C23" s="36"/>
      <c r="D23" s="36"/>
      <c r="E23" s="36"/>
    </row>
    <row r="24" spans="2:5" x14ac:dyDescent="0.2">
      <c r="B24" s="36"/>
      <c r="C24" s="36"/>
      <c r="D24" s="36"/>
      <c r="E24" s="36"/>
    </row>
    <row r="25" spans="2:5" x14ac:dyDescent="0.2">
      <c r="B25" s="36"/>
      <c r="C25" s="36"/>
      <c r="D25" s="36"/>
      <c r="E25" s="36"/>
    </row>
    <row r="26" spans="2:5" x14ac:dyDescent="0.2">
      <c r="B26" s="36"/>
      <c r="C26" s="36"/>
      <c r="D26" s="36"/>
      <c r="E26" s="36"/>
    </row>
    <row r="27" spans="2:5" x14ac:dyDescent="0.2">
      <c r="B27" s="36"/>
      <c r="C27" s="36"/>
      <c r="D27" s="36"/>
      <c r="E27" s="36"/>
    </row>
    <row r="28" spans="2:5" x14ac:dyDescent="0.2">
      <c r="B28" s="36"/>
      <c r="C28" s="36"/>
      <c r="D28" s="36"/>
      <c r="E28" s="36"/>
    </row>
    <row r="29" spans="2:5" x14ac:dyDescent="0.2">
      <c r="B29" s="36"/>
      <c r="C29" s="36"/>
      <c r="D29" s="36"/>
      <c r="E29" s="36"/>
    </row>
    <row r="30" spans="2:5" x14ac:dyDescent="0.2">
      <c r="B30" s="36"/>
      <c r="C30" s="36"/>
      <c r="D30" s="36"/>
      <c r="E30" s="36"/>
    </row>
    <row r="31" spans="2:5" x14ac:dyDescent="0.2">
      <c r="B31" s="36"/>
      <c r="C31" s="36"/>
      <c r="D31" s="36"/>
      <c r="E31" s="36"/>
    </row>
    <row r="32" spans="2:5" x14ac:dyDescent="0.2">
      <c r="B32" s="36"/>
      <c r="C32" s="36"/>
      <c r="D32" s="36"/>
      <c r="E32" s="36"/>
    </row>
    <row r="33" spans="2:5" x14ac:dyDescent="0.2">
      <c r="B33" s="36"/>
      <c r="C33" s="36"/>
      <c r="D33" s="36"/>
      <c r="E33" s="36"/>
    </row>
    <row r="34" spans="2:5" x14ac:dyDescent="0.2">
      <c r="B34" s="36"/>
      <c r="C34" s="36"/>
      <c r="D34" s="36"/>
      <c r="E34" s="36"/>
    </row>
    <row r="35" spans="2:5" x14ac:dyDescent="0.2">
      <c r="B35" s="36"/>
      <c r="C35" s="36"/>
      <c r="D35" s="36"/>
      <c r="E35" s="36"/>
    </row>
    <row r="36" spans="2:5" x14ac:dyDescent="0.2">
      <c r="B36" s="36"/>
      <c r="C36" s="36"/>
      <c r="D36" s="36"/>
      <c r="E36" s="36"/>
    </row>
    <row r="37" spans="2:5" x14ac:dyDescent="0.2">
      <c r="B37" s="35"/>
      <c r="C37" s="35"/>
      <c r="D37" s="35"/>
      <c r="E37" s="35"/>
    </row>
    <row r="38" spans="2:5" x14ac:dyDescent="0.2">
      <c r="B38" s="35"/>
      <c r="C38" s="35"/>
      <c r="D38" s="35"/>
      <c r="E38" s="35"/>
    </row>
    <row r="39" spans="2:5" x14ac:dyDescent="0.2">
      <c r="B39" s="35"/>
      <c r="C39" s="35"/>
      <c r="D39" s="35"/>
      <c r="E39" s="35"/>
    </row>
    <row r="40" spans="2:5" x14ac:dyDescent="0.2">
      <c r="B40" s="35"/>
      <c r="C40" s="35"/>
      <c r="D40" s="35"/>
      <c r="E40" s="35"/>
    </row>
    <row r="41" spans="2:5" x14ac:dyDescent="0.2">
      <c r="B41" s="35"/>
      <c r="C41" s="35"/>
      <c r="D41" s="35"/>
      <c r="E41" s="35"/>
    </row>
    <row r="42" spans="2:5" x14ac:dyDescent="0.2">
      <c r="B42" s="35"/>
      <c r="C42" s="35"/>
      <c r="D42" s="35"/>
      <c r="E42" s="35"/>
    </row>
    <row r="43" spans="2:5" x14ac:dyDescent="0.2">
      <c r="B43" s="35"/>
      <c r="C43" s="35"/>
      <c r="D43" s="35"/>
      <c r="E43" s="35"/>
    </row>
    <row r="44" spans="2:5" x14ac:dyDescent="0.2">
      <c r="B44" s="35"/>
      <c r="C44" s="35"/>
      <c r="D44" s="35"/>
      <c r="E44" s="35"/>
    </row>
    <row r="45" spans="2:5" x14ac:dyDescent="0.2">
      <c r="B45" s="35"/>
      <c r="C45" s="35"/>
      <c r="D45" s="35"/>
      <c r="E45" s="35"/>
    </row>
    <row r="46" spans="2:5" x14ac:dyDescent="0.2">
      <c r="B46" s="35"/>
      <c r="C46" s="35"/>
      <c r="D46" s="35"/>
      <c r="E46" s="35"/>
    </row>
    <row r="47" spans="2:5" x14ac:dyDescent="0.2">
      <c r="B47" s="35"/>
      <c r="C47" s="35"/>
      <c r="D47" s="35"/>
      <c r="E47" s="35"/>
    </row>
    <row r="48" spans="2:5" x14ac:dyDescent="0.2">
      <c r="B48" s="35"/>
      <c r="C48" s="35"/>
      <c r="D48" s="35"/>
      <c r="E48" s="35"/>
    </row>
    <row r="49" spans="2:5" x14ac:dyDescent="0.2">
      <c r="B49" s="35"/>
      <c r="C49" s="35"/>
      <c r="D49" s="35"/>
      <c r="E49" s="35"/>
    </row>
    <row r="50" spans="2:5" x14ac:dyDescent="0.2">
      <c r="B50" s="35"/>
      <c r="C50" s="35"/>
      <c r="D50" s="35"/>
      <c r="E50" s="35"/>
    </row>
    <row r="51" spans="2:5" x14ac:dyDescent="0.2">
      <c r="B51" s="35"/>
      <c r="C51" s="35"/>
      <c r="D51" s="35"/>
      <c r="E51" s="35"/>
    </row>
    <row r="52" spans="2:5" x14ac:dyDescent="0.2">
      <c r="B52" s="35"/>
      <c r="C52" s="35"/>
      <c r="D52" s="35"/>
      <c r="E52" s="35"/>
    </row>
    <row r="53" spans="2:5" x14ac:dyDescent="0.2">
      <c r="B53" s="35"/>
      <c r="C53" s="35"/>
      <c r="D53" s="35"/>
      <c r="E53" s="35"/>
    </row>
    <row r="54" spans="2:5" x14ac:dyDescent="0.2">
      <c r="B54" s="35"/>
      <c r="C54" s="35"/>
      <c r="D54" s="35"/>
      <c r="E54" s="35"/>
    </row>
    <row r="55" spans="2:5" x14ac:dyDescent="0.2">
      <c r="B55" s="35"/>
      <c r="C55" s="35"/>
      <c r="D55" s="35"/>
      <c r="E55" s="35"/>
    </row>
    <row r="56" spans="2:5" x14ac:dyDescent="0.2">
      <c r="B56" s="35"/>
      <c r="C56" s="35"/>
      <c r="D56" s="35"/>
      <c r="E56" s="35"/>
    </row>
    <row r="57" spans="2:5" x14ac:dyDescent="0.2">
      <c r="B57" s="35"/>
      <c r="C57" s="35"/>
      <c r="D57" s="35"/>
      <c r="E57" s="35"/>
    </row>
    <row r="58" spans="2:5" x14ac:dyDescent="0.2">
      <c r="B58" s="35"/>
      <c r="C58" s="35"/>
      <c r="D58" s="35"/>
      <c r="E58" s="35"/>
    </row>
    <row r="59" spans="2:5" x14ac:dyDescent="0.2">
      <c r="B59" s="35"/>
      <c r="C59" s="35"/>
      <c r="D59" s="35"/>
      <c r="E59" s="35"/>
    </row>
    <row r="60" spans="2:5" x14ac:dyDescent="0.2">
      <c r="B60" s="35"/>
      <c r="C60" s="35"/>
      <c r="D60" s="35"/>
      <c r="E60" s="35"/>
    </row>
    <row r="61" spans="2:5" x14ac:dyDescent="0.2">
      <c r="B61" s="35"/>
      <c r="C61" s="35"/>
      <c r="D61" s="35"/>
      <c r="E61" s="35"/>
    </row>
    <row r="62" spans="2:5" x14ac:dyDescent="0.2">
      <c r="B62" s="35"/>
      <c r="C62" s="35"/>
      <c r="D62" s="35"/>
      <c r="E62" s="35"/>
    </row>
    <row r="63" spans="2:5" x14ac:dyDescent="0.2">
      <c r="B63" s="35"/>
      <c r="C63" s="35"/>
      <c r="D63" s="35"/>
      <c r="E63" s="35"/>
    </row>
    <row r="64" spans="2:5" x14ac:dyDescent="0.2">
      <c r="B64" s="35"/>
      <c r="C64" s="35"/>
      <c r="D64" s="35"/>
      <c r="E64" s="35"/>
    </row>
    <row r="65" spans="2:5" x14ac:dyDescent="0.2">
      <c r="B65" s="35"/>
      <c r="C65" s="35"/>
      <c r="D65" s="35"/>
      <c r="E65" s="35"/>
    </row>
    <row r="66" spans="2:5" x14ac:dyDescent="0.2">
      <c r="B66" s="35"/>
      <c r="C66" s="35"/>
      <c r="D66" s="35"/>
      <c r="E66" s="35"/>
    </row>
    <row r="67" spans="2:5" x14ac:dyDescent="0.2">
      <c r="B67" s="35"/>
      <c r="C67" s="35"/>
      <c r="D67" s="35"/>
      <c r="E67" s="35"/>
    </row>
    <row r="68" spans="2:5" x14ac:dyDescent="0.2">
      <c r="B68" s="35"/>
      <c r="C68" s="35"/>
      <c r="D68" s="35"/>
      <c r="E68" s="35"/>
    </row>
    <row r="69" spans="2:5" x14ac:dyDescent="0.2">
      <c r="B69" s="35"/>
      <c r="C69" s="35"/>
      <c r="D69" s="35"/>
      <c r="E69" s="35"/>
    </row>
    <row r="70" spans="2:5" x14ac:dyDescent="0.2">
      <c r="B70" s="35"/>
      <c r="C70" s="35"/>
      <c r="D70" s="35"/>
      <c r="E70" s="35"/>
    </row>
    <row r="71" spans="2:5" x14ac:dyDescent="0.2">
      <c r="B71" s="35"/>
      <c r="C71" s="35"/>
      <c r="D71" s="35"/>
      <c r="E71" s="35"/>
    </row>
    <row r="72" spans="2:5" x14ac:dyDescent="0.2">
      <c r="B72" s="35"/>
      <c r="C72" s="35"/>
      <c r="D72" s="35"/>
      <c r="E72" s="35"/>
    </row>
    <row r="73" spans="2:5" x14ac:dyDescent="0.2">
      <c r="B73" s="35"/>
      <c r="C73" s="35"/>
      <c r="D73" s="35"/>
      <c r="E73" s="35"/>
    </row>
    <row r="74" spans="2:5" x14ac:dyDescent="0.2">
      <c r="B74" s="35"/>
      <c r="C74" s="35"/>
      <c r="D74" s="35"/>
      <c r="E74" s="35"/>
    </row>
    <row r="75" spans="2:5" x14ac:dyDescent="0.2">
      <c r="B75" s="35"/>
      <c r="C75" s="35"/>
      <c r="D75" s="35"/>
      <c r="E75" s="35"/>
    </row>
    <row r="76" spans="2:5" x14ac:dyDescent="0.2">
      <c r="B76" s="35"/>
      <c r="C76" s="35"/>
      <c r="D76" s="35"/>
      <c r="E76" s="35"/>
    </row>
    <row r="77" spans="2:5" x14ac:dyDescent="0.2">
      <c r="B77" s="35"/>
      <c r="C77" s="35"/>
      <c r="D77" s="35"/>
      <c r="E77" s="35"/>
    </row>
    <row r="78" spans="2:5" x14ac:dyDescent="0.2">
      <c r="B78" s="35"/>
      <c r="C78" s="35"/>
      <c r="D78" s="35"/>
      <c r="E78" s="35"/>
    </row>
    <row r="79" spans="2:5" x14ac:dyDescent="0.2">
      <c r="B79" s="35"/>
      <c r="C79" s="35"/>
      <c r="D79" s="35"/>
      <c r="E79" s="35"/>
    </row>
    <row r="80" spans="2:5" x14ac:dyDescent="0.2">
      <c r="B80" s="35"/>
      <c r="C80" s="35"/>
      <c r="D80" s="35"/>
      <c r="E80" s="35"/>
    </row>
    <row r="81" spans="2:5" x14ac:dyDescent="0.2">
      <c r="B81" s="35"/>
      <c r="C81" s="35"/>
      <c r="D81" s="35"/>
      <c r="E81" s="35"/>
    </row>
    <row r="82" spans="2:5" x14ac:dyDescent="0.2">
      <c r="B82" s="35"/>
      <c r="C82" s="35"/>
      <c r="D82" s="35"/>
      <c r="E82" s="35"/>
    </row>
    <row r="83" spans="2:5" x14ac:dyDescent="0.2">
      <c r="B83" s="35"/>
      <c r="C83" s="35"/>
      <c r="D83" s="35"/>
      <c r="E83" s="35"/>
    </row>
    <row r="84" spans="2:5" x14ac:dyDescent="0.2">
      <c r="B84" s="35"/>
      <c r="C84" s="35"/>
      <c r="D84" s="35"/>
      <c r="E84" s="35"/>
    </row>
    <row r="85" spans="2:5" x14ac:dyDescent="0.2">
      <c r="B85" s="35"/>
      <c r="C85" s="35"/>
      <c r="D85" s="35"/>
      <c r="E85" s="35"/>
    </row>
    <row r="86" spans="2:5" x14ac:dyDescent="0.2">
      <c r="B86" s="35"/>
      <c r="C86" s="35"/>
      <c r="D86" s="35"/>
      <c r="E86" s="35"/>
    </row>
    <row r="87" spans="2:5" x14ac:dyDescent="0.2">
      <c r="B87" s="35"/>
      <c r="C87" s="35"/>
      <c r="D87" s="35"/>
      <c r="E87" s="35"/>
    </row>
    <row r="88" spans="2:5" x14ac:dyDescent="0.2">
      <c r="B88" s="35"/>
      <c r="C88" s="35"/>
      <c r="D88" s="35"/>
      <c r="E88" s="35"/>
    </row>
    <row r="89" spans="2:5" x14ac:dyDescent="0.2">
      <c r="B89" s="35"/>
      <c r="C89" s="35"/>
      <c r="D89" s="35"/>
      <c r="E89" s="35"/>
    </row>
    <row r="90" spans="2:5" x14ac:dyDescent="0.2">
      <c r="B90" s="35"/>
      <c r="C90" s="35"/>
      <c r="D90" s="35"/>
      <c r="E90" s="35"/>
    </row>
    <row r="91" spans="2:5" x14ac:dyDescent="0.2">
      <c r="B91" s="35"/>
      <c r="C91" s="35"/>
      <c r="D91" s="35"/>
      <c r="E91" s="35"/>
    </row>
    <row r="92" spans="2:5" x14ac:dyDescent="0.2">
      <c r="B92" s="35"/>
      <c r="C92" s="35"/>
      <c r="D92" s="35"/>
      <c r="E92" s="35"/>
    </row>
    <row r="93" spans="2:5" x14ac:dyDescent="0.2">
      <c r="B93" s="35"/>
      <c r="C93" s="35"/>
      <c r="D93" s="35"/>
      <c r="E93" s="35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opLeftCell="A23" zoomScale="167" zoomScaleNormal="167" workbookViewId="0">
      <selection activeCell="B22" sqref="B22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5.33203125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165</v>
      </c>
      <c r="F2" s="3" t="s">
        <v>113</v>
      </c>
      <c r="G2" s="3" t="s">
        <v>176</v>
      </c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 t="s">
        <v>66</v>
      </c>
      <c r="H3" s="1" t="s">
        <v>177</v>
      </c>
    </row>
    <row r="4" spans="1:10" x14ac:dyDescent="0.2">
      <c r="A4" s="38" t="s">
        <v>85</v>
      </c>
      <c r="B4" s="1">
        <v>5</v>
      </c>
      <c r="C4" s="1"/>
      <c r="D4" s="1" t="s">
        <v>44</v>
      </c>
      <c r="E4" s="1"/>
      <c r="F4" s="5" t="s">
        <v>111</v>
      </c>
      <c r="G4" s="1" t="s">
        <v>66</v>
      </c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 t="s">
        <v>56</v>
      </c>
      <c r="H5" s="1" t="s">
        <v>178</v>
      </c>
      <c r="I5" s="1" t="s">
        <v>179</v>
      </c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 t="s">
        <v>56</v>
      </c>
      <c r="H6" s="1" t="s">
        <v>180</v>
      </c>
      <c r="I6" s="1" t="s">
        <v>182</v>
      </c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 t="s">
        <v>56</v>
      </c>
      <c r="H7" s="1" t="s">
        <v>181</v>
      </c>
      <c r="I7" s="1" t="s">
        <v>183</v>
      </c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37" t="s">
        <v>1065</v>
      </c>
      <c r="G8" s="1" t="s">
        <v>66</v>
      </c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 t="s">
        <v>43</v>
      </c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 t="s">
        <v>56</v>
      </c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 t="s">
        <v>56</v>
      </c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 t="s">
        <v>56</v>
      </c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 t="s">
        <v>43</v>
      </c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 t="s">
        <v>66</v>
      </c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 t="s">
        <v>56</v>
      </c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 t="s">
        <v>43</v>
      </c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 t="s">
        <v>66</v>
      </c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 t="s">
        <v>66</v>
      </c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 t="s">
        <v>56</v>
      </c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 t="s">
        <v>43</v>
      </c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 t="s">
        <v>43</v>
      </c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 t="s">
        <v>43</v>
      </c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 t="s">
        <v>43</v>
      </c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 t="s">
        <v>43</v>
      </c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 t="s">
        <v>66</v>
      </c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 t="s">
        <v>56</v>
      </c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 t="s">
        <v>56</v>
      </c>
      <c r="H27" s="1"/>
    </row>
    <row r="28" spans="1:8" x14ac:dyDescent="0.2">
      <c r="A28" s="38" t="s">
        <v>117</v>
      </c>
      <c r="B28" s="1" t="s">
        <v>46</v>
      </c>
      <c r="C28" s="1"/>
      <c r="D28" s="1" t="s">
        <v>45</v>
      </c>
      <c r="E28" s="1"/>
      <c r="F28" s="1"/>
      <c r="G28" s="1" t="s">
        <v>66</v>
      </c>
      <c r="H28" s="1"/>
    </row>
    <row r="29" spans="1:8" x14ac:dyDescent="0.2">
      <c r="A29" s="38" t="s">
        <v>118</v>
      </c>
      <c r="B29" s="1" t="s">
        <v>103</v>
      </c>
      <c r="C29" s="1"/>
      <c r="D29" s="1" t="s">
        <v>54</v>
      </c>
      <c r="E29" s="1"/>
      <c r="F29" s="1"/>
      <c r="G29" s="1" t="s">
        <v>56</v>
      </c>
      <c r="H29" s="1"/>
    </row>
    <row r="30" spans="1:8" x14ac:dyDescent="0.2">
      <c r="A30" s="8" t="s">
        <v>122</v>
      </c>
      <c r="B30" s="1" t="s">
        <v>103</v>
      </c>
      <c r="C30" s="1"/>
      <c r="D30" s="1" t="s">
        <v>44</v>
      </c>
      <c r="E30" s="1"/>
      <c r="F30" s="1"/>
      <c r="G30" s="1" t="s">
        <v>56</v>
      </c>
      <c r="H30" s="1"/>
    </row>
    <row r="31" spans="1:8" x14ac:dyDescent="0.2">
      <c r="A31" s="8" t="s">
        <v>123</v>
      </c>
      <c r="B31" s="1" t="s">
        <v>128</v>
      </c>
      <c r="C31" s="1"/>
      <c r="D31" s="1" t="s">
        <v>45</v>
      </c>
      <c r="E31" s="1"/>
      <c r="F31" s="1"/>
      <c r="G31" s="1" t="s">
        <v>56</v>
      </c>
      <c r="H31" s="1"/>
    </row>
    <row r="32" spans="1:8" x14ac:dyDescent="0.2">
      <c r="A32" s="8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 t="s">
        <v>56</v>
      </c>
      <c r="H32" s="1"/>
    </row>
    <row r="33" spans="1:8" x14ac:dyDescent="0.2">
      <c r="A33" s="8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 t="s">
        <v>56</v>
      </c>
      <c r="H33" s="1"/>
    </row>
    <row r="34" spans="1:8" x14ac:dyDescent="0.2">
      <c r="A34" s="8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 t="s">
        <v>56</v>
      </c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A37" t="s">
        <v>163</v>
      </c>
      <c r="B37" s="1" t="s">
        <v>167</v>
      </c>
      <c r="C37" s="1" t="s">
        <v>164</v>
      </c>
      <c r="D37" s="1" t="s">
        <v>135</v>
      </c>
      <c r="E37" s="1" t="s">
        <v>104</v>
      </c>
      <c r="F37" s="1"/>
      <c r="G37" s="1"/>
      <c r="H37" s="1"/>
    </row>
    <row r="38" spans="1:8" x14ac:dyDescent="0.2">
      <c r="A38" t="s">
        <v>166</v>
      </c>
      <c r="B38" s="1" t="s">
        <v>1066</v>
      </c>
      <c r="C38" s="1" t="s">
        <v>168</v>
      </c>
      <c r="D38" s="1" t="s">
        <v>1067</v>
      </c>
      <c r="E38" s="1" t="s">
        <v>168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14EC-1214-4B48-B117-81E1008616BB}">
  <dimension ref="A1:I98"/>
  <sheetViews>
    <sheetView zoomScale="130" zoomScaleNormal="130" workbookViewId="0">
      <selection activeCell="G3" sqref="G3:G6"/>
    </sheetView>
  </sheetViews>
  <sheetFormatPr baseColWidth="10" defaultRowHeight="16" x14ac:dyDescent="0.2"/>
  <cols>
    <col min="1" max="1" width="18" bestFit="1" customWidth="1"/>
    <col min="2" max="2" width="12.1640625" bestFit="1" customWidth="1"/>
    <col min="6" max="6" width="11" bestFit="1" customWidth="1"/>
    <col min="7" max="7" width="12.1640625" bestFit="1" customWidth="1"/>
  </cols>
  <sheetData>
    <row r="1" spans="1:9" ht="32" x14ac:dyDescent="0.4">
      <c r="A1" s="39" t="s">
        <v>1068</v>
      </c>
      <c r="B1" s="39"/>
      <c r="C1" s="39"/>
      <c r="D1" s="39"/>
      <c r="E1" s="39"/>
      <c r="F1" s="39"/>
      <c r="G1" s="39"/>
      <c r="H1" s="39"/>
    </row>
    <row r="2" spans="1:9" x14ac:dyDescent="0.2">
      <c r="A2" s="3" t="s">
        <v>1069</v>
      </c>
      <c r="B2" s="3" t="s">
        <v>1084</v>
      </c>
      <c r="C2" s="3" t="s">
        <v>1039</v>
      </c>
      <c r="D2" s="3" t="s">
        <v>1039</v>
      </c>
      <c r="E2" s="3" t="s">
        <v>1039</v>
      </c>
      <c r="F2" s="3" t="s">
        <v>1074</v>
      </c>
      <c r="G2" s="3" t="s">
        <v>1075</v>
      </c>
      <c r="H2" s="3" t="s">
        <v>1082</v>
      </c>
      <c r="I2" s="3" t="s">
        <v>1083</v>
      </c>
    </row>
    <row r="3" spans="1:9" x14ac:dyDescent="0.2">
      <c r="A3" s="35" t="s">
        <v>1098</v>
      </c>
      <c r="B3" s="35">
        <v>3</v>
      </c>
      <c r="C3" s="35"/>
      <c r="D3" s="35"/>
      <c r="E3" s="35"/>
      <c r="F3" s="35" t="s">
        <v>1080</v>
      </c>
      <c r="G3" s="35" t="s">
        <v>1076</v>
      </c>
      <c r="H3" s="35"/>
      <c r="I3" s="35"/>
    </row>
    <row r="4" spans="1:9" x14ac:dyDescent="0.2">
      <c r="A4" s="35" t="s">
        <v>1104</v>
      </c>
      <c r="B4" s="35">
        <v>5</v>
      </c>
      <c r="C4" s="35"/>
      <c r="D4" s="35"/>
      <c r="E4" s="35"/>
      <c r="F4" s="35" t="s">
        <v>1080</v>
      </c>
      <c r="G4" s="35" t="s">
        <v>1077</v>
      </c>
      <c r="H4" s="35"/>
      <c r="I4" s="35"/>
    </row>
    <row r="5" spans="1:9" x14ac:dyDescent="0.2">
      <c r="A5" s="35" t="s">
        <v>1072</v>
      </c>
      <c r="B5" s="35">
        <v>6</v>
      </c>
      <c r="C5" s="35"/>
      <c r="D5" s="35"/>
      <c r="E5" s="35"/>
      <c r="F5" s="35" t="s">
        <v>1081</v>
      </c>
      <c r="G5" s="35" t="s">
        <v>1078</v>
      </c>
      <c r="H5" s="35"/>
      <c r="I5" s="35"/>
    </row>
    <row r="6" spans="1:9" x14ac:dyDescent="0.2">
      <c r="A6" s="35" t="s">
        <v>1073</v>
      </c>
      <c r="B6" s="35">
        <v>7</v>
      </c>
      <c r="C6" s="35"/>
      <c r="D6" s="35"/>
      <c r="E6" s="35"/>
      <c r="F6" s="35" t="s">
        <v>1081</v>
      </c>
      <c r="G6" s="35" t="s">
        <v>1079</v>
      </c>
      <c r="H6" s="35"/>
      <c r="I6" s="35"/>
    </row>
    <row r="7" spans="1:9" x14ac:dyDescent="0.2">
      <c r="A7" s="35" t="s">
        <v>1089</v>
      </c>
      <c r="B7" s="35">
        <v>12</v>
      </c>
      <c r="C7" s="35"/>
      <c r="D7" s="35"/>
      <c r="E7" s="35"/>
      <c r="F7" s="35" t="s">
        <v>1081</v>
      </c>
      <c r="G7" s="35"/>
      <c r="H7" s="35"/>
      <c r="I7" s="35"/>
    </row>
    <row r="8" spans="1:9" x14ac:dyDescent="0.2">
      <c r="A8" s="35" t="s">
        <v>1108</v>
      </c>
      <c r="B8" s="35">
        <v>8</v>
      </c>
      <c r="C8" s="35"/>
      <c r="D8" s="35"/>
      <c r="E8" s="35"/>
      <c r="F8" s="35"/>
      <c r="G8" s="35"/>
      <c r="H8" s="35"/>
      <c r="I8" s="35"/>
    </row>
    <row r="9" spans="1:9" x14ac:dyDescent="0.2">
      <c r="A9" s="35" t="s">
        <v>1109</v>
      </c>
      <c r="B9" s="35">
        <v>9</v>
      </c>
      <c r="C9" s="35"/>
      <c r="D9" s="35"/>
      <c r="E9" s="35"/>
      <c r="F9" s="35"/>
      <c r="G9" s="35"/>
      <c r="H9" s="35"/>
      <c r="I9" s="35"/>
    </row>
    <row r="10" spans="1:9" x14ac:dyDescent="0.2">
      <c r="A10" s="35" t="s">
        <v>1110</v>
      </c>
      <c r="B10" s="35">
        <v>10</v>
      </c>
      <c r="C10" s="35"/>
      <c r="D10" s="35"/>
      <c r="E10" s="35"/>
      <c r="F10" s="35"/>
      <c r="G10" s="35"/>
      <c r="H10" s="35"/>
      <c r="I10" s="35"/>
    </row>
    <row r="11" spans="1:9" x14ac:dyDescent="0.2">
      <c r="A11" s="35" t="s">
        <v>1111</v>
      </c>
      <c r="B11" s="35">
        <v>11</v>
      </c>
      <c r="C11" s="35"/>
      <c r="D11" s="35"/>
      <c r="E11" s="35"/>
      <c r="F11" s="35"/>
      <c r="G11" s="35"/>
      <c r="H11" s="35"/>
      <c r="I11" s="35"/>
    </row>
    <row r="12" spans="1:9" x14ac:dyDescent="0.2">
      <c r="A12" s="35" t="s">
        <v>1112</v>
      </c>
      <c r="B12" s="35">
        <v>2</v>
      </c>
      <c r="C12" s="35"/>
      <c r="D12" s="35"/>
      <c r="E12" s="35"/>
      <c r="F12" s="35"/>
      <c r="G12" s="35"/>
      <c r="H12" s="35"/>
      <c r="I12" s="35"/>
    </row>
    <row r="13" spans="1:9" x14ac:dyDescent="0.2">
      <c r="A13" s="35" t="s">
        <v>1113</v>
      </c>
      <c r="B13" s="35">
        <v>4</v>
      </c>
      <c r="C13" s="35"/>
      <c r="D13" s="35"/>
      <c r="E13" s="35"/>
      <c r="F13" s="35"/>
      <c r="G13" s="35"/>
      <c r="H13" s="35"/>
      <c r="I13" s="35"/>
    </row>
    <row r="14" spans="1:9" x14ac:dyDescent="0.2">
      <c r="A14" s="35"/>
      <c r="B14" s="3" t="s">
        <v>1086</v>
      </c>
      <c r="C14" s="3" t="s">
        <v>1071</v>
      </c>
      <c r="D14" s="3" t="s">
        <v>1039</v>
      </c>
      <c r="E14" s="3" t="s">
        <v>1039</v>
      </c>
      <c r="F14" s="3" t="s">
        <v>1039</v>
      </c>
      <c r="G14" s="3" t="s">
        <v>1074</v>
      </c>
      <c r="H14" s="3" t="s">
        <v>1082</v>
      </c>
      <c r="I14" s="3" t="s">
        <v>1083</v>
      </c>
    </row>
    <row r="15" spans="1:9" x14ac:dyDescent="0.2">
      <c r="A15" s="35" t="s">
        <v>1085</v>
      </c>
      <c r="B15" s="35" t="s">
        <v>1070</v>
      </c>
      <c r="C15" s="35">
        <v>1</v>
      </c>
      <c r="D15" s="35" t="s">
        <v>1115</v>
      </c>
      <c r="E15" s="35"/>
      <c r="F15" s="35"/>
      <c r="G15" s="35">
        <v>1</v>
      </c>
      <c r="H15" s="35">
        <v>15</v>
      </c>
      <c r="I15" s="35">
        <v>2</v>
      </c>
    </row>
    <row r="16" spans="1:9" x14ac:dyDescent="0.2">
      <c r="A16" s="35" t="s">
        <v>1087</v>
      </c>
      <c r="B16" s="35" t="s">
        <v>1070</v>
      </c>
      <c r="C16" s="35">
        <v>1</v>
      </c>
      <c r="D16" s="35"/>
      <c r="E16" s="35"/>
      <c r="F16" s="35"/>
      <c r="G16" s="35" t="s">
        <v>1080</v>
      </c>
      <c r="H16" s="35">
        <v>10</v>
      </c>
      <c r="I16" s="35">
        <v>1</v>
      </c>
    </row>
    <row r="17" spans="1:9" x14ac:dyDescent="0.2">
      <c r="A17" s="35" t="s">
        <v>1114</v>
      </c>
      <c r="B17" s="35" t="s">
        <v>1070</v>
      </c>
      <c r="C17" s="35">
        <v>2</v>
      </c>
      <c r="D17" s="35"/>
      <c r="E17" s="35"/>
      <c r="F17" s="35"/>
      <c r="G17" s="35" t="s">
        <v>1080</v>
      </c>
      <c r="H17" s="35">
        <v>25</v>
      </c>
      <c r="I17" s="35">
        <v>5</v>
      </c>
    </row>
    <row r="18" spans="1:9" x14ac:dyDescent="0.2">
      <c r="A18" s="35" t="s">
        <v>1119</v>
      </c>
      <c r="B18" s="35" t="s">
        <v>1098</v>
      </c>
      <c r="C18" s="35">
        <v>2</v>
      </c>
      <c r="D18" s="35"/>
      <c r="E18" s="35"/>
      <c r="F18" s="35"/>
      <c r="G18" s="35" t="s">
        <v>1081</v>
      </c>
      <c r="H18" s="35">
        <v>13</v>
      </c>
      <c r="I18" s="35">
        <v>3</v>
      </c>
    </row>
    <row r="19" spans="1:9" x14ac:dyDescent="0.2">
      <c r="A19" s="35" t="s">
        <v>1121</v>
      </c>
      <c r="B19" s="35" t="s">
        <v>1120</v>
      </c>
      <c r="C19" s="35">
        <v>1</v>
      </c>
      <c r="D19" s="35" t="s">
        <v>1123</v>
      </c>
      <c r="E19" s="35" t="s">
        <v>1124</v>
      </c>
      <c r="F19" s="35"/>
      <c r="G19" s="35" t="s">
        <v>1080</v>
      </c>
      <c r="H19" s="35">
        <v>50</v>
      </c>
      <c r="I19" s="35">
        <v>10</v>
      </c>
    </row>
    <row r="20" spans="1:9" x14ac:dyDescent="0.2">
      <c r="A20" s="35" t="s">
        <v>1122</v>
      </c>
      <c r="B20" s="35" t="s">
        <v>1120</v>
      </c>
      <c r="C20" s="35">
        <v>1</v>
      </c>
      <c r="D20" s="35" t="s">
        <v>65</v>
      </c>
      <c r="E20" s="35"/>
      <c r="F20" s="35"/>
      <c r="G20" s="35" t="s">
        <v>1080</v>
      </c>
      <c r="H20" s="35">
        <v>50</v>
      </c>
      <c r="I20" s="35">
        <v>10</v>
      </c>
    </row>
    <row r="21" spans="1:9" x14ac:dyDescent="0.2">
      <c r="A21" s="35"/>
      <c r="B21" s="35"/>
      <c r="C21" s="35"/>
      <c r="D21" s="35"/>
      <c r="E21" s="35"/>
      <c r="F21" s="35"/>
      <c r="G21" s="35"/>
      <c r="H21" s="35"/>
      <c r="I21" s="35"/>
    </row>
    <row r="22" spans="1:9" x14ac:dyDescent="0.2">
      <c r="A22" s="35"/>
      <c r="B22" s="35"/>
      <c r="C22" s="35"/>
      <c r="D22" s="35"/>
      <c r="E22" s="35"/>
      <c r="F22" s="35"/>
      <c r="G22" s="35"/>
      <c r="H22" s="35"/>
      <c r="I22" s="35"/>
    </row>
    <row r="23" spans="1:9" x14ac:dyDescent="0.2">
      <c r="A23" s="35"/>
      <c r="B23" s="35"/>
      <c r="C23" s="35"/>
      <c r="D23" s="35"/>
      <c r="E23" s="35"/>
      <c r="F23" s="35"/>
      <c r="G23" s="35"/>
      <c r="H23" s="35"/>
      <c r="I23" s="35"/>
    </row>
    <row r="24" spans="1:9" x14ac:dyDescent="0.2">
      <c r="A24" s="35"/>
      <c r="B24" s="35"/>
      <c r="C24" s="35"/>
      <c r="D24" s="35"/>
      <c r="E24" s="35"/>
      <c r="F24" s="35"/>
      <c r="G24" s="35"/>
      <c r="H24" s="35"/>
      <c r="I24" s="35"/>
    </row>
    <row r="25" spans="1:9" x14ac:dyDescent="0.2">
      <c r="A25" s="35"/>
      <c r="B25" s="35"/>
      <c r="C25" s="35"/>
      <c r="D25" s="35"/>
      <c r="E25" s="35"/>
      <c r="F25" s="35"/>
      <c r="G25" s="35"/>
      <c r="H25" s="35"/>
      <c r="I25" s="35"/>
    </row>
    <row r="26" spans="1:9" x14ac:dyDescent="0.2">
      <c r="A26" s="35"/>
      <c r="B26" s="35"/>
      <c r="C26" s="35"/>
      <c r="D26" s="35"/>
      <c r="E26" s="35"/>
      <c r="F26" s="35"/>
      <c r="G26" s="35"/>
      <c r="H26" s="35"/>
      <c r="I26" s="35"/>
    </row>
    <row r="27" spans="1:9" x14ac:dyDescent="0.2">
      <c r="A27" s="35" t="s">
        <v>1130</v>
      </c>
      <c r="B27" s="35" t="s">
        <v>1073</v>
      </c>
      <c r="C27" s="35">
        <v>6</v>
      </c>
      <c r="D27" s="35"/>
      <c r="E27" s="35"/>
      <c r="F27" s="35"/>
      <c r="G27" s="35"/>
      <c r="H27" s="35">
        <v>100</v>
      </c>
      <c r="I27" s="35">
        <v>30</v>
      </c>
    </row>
    <row r="28" spans="1:9" x14ac:dyDescent="0.2">
      <c r="A28" s="35" t="s">
        <v>1127</v>
      </c>
      <c r="B28" s="35" t="s">
        <v>1126</v>
      </c>
      <c r="C28" s="35">
        <v>8</v>
      </c>
      <c r="D28" s="35"/>
      <c r="E28" s="35"/>
      <c r="F28" s="35"/>
      <c r="G28" s="35"/>
      <c r="H28" s="35">
        <v>150</v>
      </c>
      <c r="I28" s="35">
        <v>45</v>
      </c>
    </row>
    <row r="29" spans="1:9" x14ac:dyDescent="0.2">
      <c r="A29" s="35" t="s">
        <v>1125</v>
      </c>
      <c r="B29" s="35" t="s">
        <v>1126</v>
      </c>
      <c r="C29" s="35">
        <v>10</v>
      </c>
      <c r="D29" s="35"/>
      <c r="E29" s="35"/>
      <c r="F29" s="35"/>
      <c r="G29" s="35"/>
      <c r="H29" s="35">
        <v>200</v>
      </c>
      <c r="I29" s="35">
        <v>50</v>
      </c>
    </row>
    <row r="30" spans="1:9" x14ac:dyDescent="0.2">
      <c r="A30" s="35" t="s">
        <v>1128</v>
      </c>
      <c r="B30" s="35" t="s">
        <v>1129</v>
      </c>
      <c r="C30" s="35">
        <v>6</v>
      </c>
      <c r="D30" s="35" t="s">
        <v>1091</v>
      </c>
      <c r="E30" s="35"/>
      <c r="F30" s="35"/>
      <c r="G30" s="35"/>
      <c r="H30" s="35">
        <v>350</v>
      </c>
      <c r="I30" s="35">
        <v>90</v>
      </c>
    </row>
    <row r="31" spans="1:9" x14ac:dyDescent="0.2">
      <c r="A31" s="35"/>
      <c r="B31" s="35"/>
      <c r="C31" s="35"/>
      <c r="D31" s="35"/>
      <c r="E31" s="35"/>
      <c r="F31" s="35"/>
      <c r="G31" s="35"/>
      <c r="H31" s="35"/>
      <c r="I31" s="35"/>
    </row>
    <row r="32" spans="1:9" x14ac:dyDescent="0.2">
      <c r="A32" s="35"/>
      <c r="B32" s="35"/>
      <c r="C32" s="35"/>
      <c r="D32" s="35"/>
      <c r="E32" s="35"/>
      <c r="F32" s="35"/>
      <c r="G32" s="35"/>
      <c r="H32" s="35"/>
      <c r="I32" s="35"/>
    </row>
    <row r="33" spans="1:9" x14ac:dyDescent="0.2">
      <c r="A33" s="35"/>
      <c r="B33" s="35"/>
      <c r="C33" s="35"/>
      <c r="D33" s="35"/>
      <c r="E33" s="35"/>
      <c r="F33" s="35"/>
      <c r="G33" s="35"/>
      <c r="H33" s="35"/>
      <c r="I33" s="35"/>
    </row>
    <row r="34" spans="1:9" x14ac:dyDescent="0.2">
      <c r="A34" s="35"/>
      <c r="B34" s="35"/>
      <c r="C34" s="35"/>
      <c r="D34" s="35"/>
      <c r="E34" s="35"/>
      <c r="F34" s="35"/>
      <c r="G34" s="35"/>
      <c r="H34" s="35"/>
      <c r="I34" s="35"/>
    </row>
    <row r="35" spans="1:9" x14ac:dyDescent="0.2">
      <c r="A35" s="35"/>
      <c r="B35" s="35"/>
      <c r="C35" s="35"/>
      <c r="D35" s="35"/>
      <c r="E35" s="35"/>
      <c r="F35" s="35"/>
      <c r="G35" s="35"/>
      <c r="H35" s="35"/>
      <c r="I35" s="35"/>
    </row>
    <row r="36" spans="1:9" x14ac:dyDescent="0.2">
      <c r="A36" s="35"/>
      <c r="B36" s="35"/>
      <c r="C36" s="35"/>
      <c r="D36" s="35"/>
      <c r="E36" s="35"/>
      <c r="F36" s="35"/>
      <c r="G36" s="35"/>
      <c r="H36" s="35"/>
      <c r="I36" s="35"/>
    </row>
    <row r="37" spans="1:9" x14ac:dyDescent="0.2">
      <c r="A37" s="35"/>
      <c r="B37" s="35"/>
      <c r="C37" s="35"/>
      <c r="D37" s="35"/>
      <c r="E37" s="35"/>
      <c r="F37" s="35"/>
      <c r="G37" s="35"/>
      <c r="H37" s="35"/>
      <c r="I37" s="35"/>
    </row>
    <row r="38" spans="1:9" x14ac:dyDescent="0.2">
      <c r="A38" s="35"/>
      <c r="B38" s="35"/>
      <c r="C38" s="35"/>
      <c r="D38" s="35"/>
      <c r="E38" s="35"/>
      <c r="F38" s="35"/>
      <c r="G38" s="35"/>
      <c r="H38" s="35"/>
      <c r="I38" s="35"/>
    </row>
    <row r="39" spans="1:9" x14ac:dyDescent="0.2">
      <c r="A39" s="35"/>
      <c r="B39" s="35"/>
      <c r="C39" s="35"/>
      <c r="D39" s="35"/>
      <c r="E39" s="35"/>
      <c r="F39" s="35"/>
      <c r="G39" s="35"/>
      <c r="H39" s="35"/>
      <c r="I39" s="35"/>
    </row>
    <row r="40" spans="1:9" x14ac:dyDescent="0.2">
      <c r="A40" s="35"/>
      <c r="B40" s="35"/>
      <c r="C40" s="35"/>
      <c r="D40" s="35"/>
      <c r="E40" s="35"/>
      <c r="F40" s="35"/>
      <c r="G40" s="35"/>
      <c r="H40" s="35"/>
      <c r="I40" s="35"/>
    </row>
    <row r="41" spans="1:9" x14ac:dyDescent="0.2">
      <c r="A41" s="35"/>
      <c r="B41" s="35"/>
      <c r="C41" s="35"/>
      <c r="D41" s="35"/>
      <c r="E41" s="35"/>
      <c r="F41" s="35"/>
      <c r="G41" s="35"/>
      <c r="H41" s="35"/>
      <c r="I41" s="35"/>
    </row>
    <row r="42" spans="1:9" x14ac:dyDescent="0.2">
      <c r="A42" s="35"/>
      <c r="B42" s="35"/>
      <c r="C42" s="35"/>
      <c r="D42" s="35"/>
      <c r="E42" s="35"/>
      <c r="F42" s="35"/>
      <c r="G42" s="35"/>
      <c r="H42" s="35"/>
      <c r="I42" s="35"/>
    </row>
    <row r="43" spans="1:9" x14ac:dyDescent="0.2">
      <c r="A43" s="35"/>
      <c r="B43" s="35"/>
      <c r="C43" s="35"/>
      <c r="D43" s="35"/>
      <c r="E43" s="35"/>
      <c r="F43" s="35"/>
      <c r="G43" s="35"/>
      <c r="H43" s="35"/>
      <c r="I43" s="35"/>
    </row>
    <row r="44" spans="1:9" x14ac:dyDescent="0.2">
      <c r="A44" s="35"/>
      <c r="B44" s="35"/>
      <c r="C44" s="35"/>
      <c r="D44" s="35"/>
      <c r="E44" s="35"/>
      <c r="F44" s="35"/>
      <c r="G44" s="35"/>
      <c r="H44" s="35"/>
      <c r="I44" s="35"/>
    </row>
    <row r="45" spans="1:9" x14ac:dyDescent="0.2">
      <c r="A45" s="35"/>
      <c r="B45" s="35"/>
      <c r="C45" s="35"/>
      <c r="D45" s="35"/>
      <c r="E45" s="35"/>
      <c r="F45" s="35"/>
      <c r="G45" s="35"/>
      <c r="H45" s="35"/>
      <c r="I45" s="35"/>
    </row>
    <row r="46" spans="1:9" x14ac:dyDescent="0.2">
      <c r="A46" s="35"/>
      <c r="B46" s="35"/>
      <c r="C46" s="35"/>
      <c r="D46" s="35"/>
      <c r="E46" s="35"/>
      <c r="F46" s="35"/>
      <c r="G46" s="35"/>
      <c r="H46" s="35"/>
      <c r="I46" s="35"/>
    </row>
    <row r="47" spans="1:9" x14ac:dyDescent="0.2">
      <c r="A47" s="35"/>
      <c r="B47" s="35"/>
      <c r="C47" s="35"/>
      <c r="D47" s="35"/>
      <c r="E47" s="35"/>
      <c r="F47" s="35"/>
      <c r="G47" s="35"/>
      <c r="H47" s="35"/>
      <c r="I47" s="35"/>
    </row>
    <row r="48" spans="1:9" x14ac:dyDescent="0.2">
      <c r="A48" s="35"/>
      <c r="B48" s="35"/>
      <c r="C48" s="35"/>
      <c r="D48" s="35"/>
      <c r="E48" s="35"/>
      <c r="F48" s="35"/>
      <c r="G48" s="35"/>
      <c r="H48" s="35"/>
      <c r="I48" s="35"/>
    </row>
    <row r="49" spans="1:9" x14ac:dyDescent="0.2">
      <c r="A49" s="35"/>
      <c r="B49" s="35"/>
      <c r="C49" s="35"/>
      <c r="D49" s="35"/>
      <c r="E49" s="35"/>
      <c r="F49" s="35"/>
      <c r="G49" s="35"/>
      <c r="H49" s="35"/>
      <c r="I49" s="35"/>
    </row>
    <row r="50" spans="1:9" x14ac:dyDescent="0.2">
      <c r="A50" s="35" t="s">
        <v>1116</v>
      </c>
      <c r="B50" s="35" t="s">
        <v>1109</v>
      </c>
      <c r="C50" s="35">
        <v>17</v>
      </c>
      <c r="D50" s="35" t="s">
        <v>1117</v>
      </c>
      <c r="E50" s="35" t="s">
        <v>1118</v>
      </c>
      <c r="F50" s="35" t="s">
        <v>1092</v>
      </c>
      <c r="G50" s="35" t="s">
        <v>1081</v>
      </c>
      <c r="H50" s="35">
        <v>250000</v>
      </c>
      <c r="I50" s="35">
        <v>1</v>
      </c>
    </row>
    <row r="51" spans="1:9" x14ac:dyDescent="0.2">
      <c r="A51" s="35" t="s">
        <v>1103</v>
      </c>
      <c r="B51" s="35" t="s">
        <v>1104</v>
      </c>
      <c r="C51" s="35">
        <v>15</v>
      </c>
      <c r="D51" s="35" t="s">
        <v>1105</v>
      </c>
      <c r="E51" s="35" t="s">
        <v>1106</v>
      </c>
      <c r="F51" s="35" t="s">
        <v>1107</v>
      </c>
      <c r="G51" s="35">
        <v>3</v>
      </c>
      <c r="H51" s="35">
        <v>250000</v>
      </c>
      <c r="I51" s="35">
        <v>1</v>
      </c>
    </row>
    <row r="52" spans="1:9" x14ac:dyDescent="0.2">
      <c r="A52" s="35" t="s">
        <v>1097</v>
      </c>
      <c r="B52" s="35" t="s">
        <v>1098</v>
      </c>
      <c r="C52" s="35">
        <v>10</v>
      </c>
      <c r="D52" s="35" t="s">
        <v>1099</v>
      </c>
      <c r="E52" s="35" t="s">
        <v>1100</v>
      </c>
      <c r="F52" s="35" t="s">
        <v>1101</v>
      </c>
      <c r="G52" s="35" t="s">
        <v>1102</v>
      </c>
      <c r="H52" s="35">
        <v>250000</v>
      </c>
      <c r="I52" s="35">
        <v>1</v>
      </c>
    </row>
    <row r="53" spans="1:9" x14ac:dyDescent="0.2">
      <c r="A53" s="35" t="s">
        <v>1088</v>
      </c>
      <c r="B53" s="35" t="s">
        <v>1089</v>
      </c>
      <c r="C53" s="35">
        <v>35</v>
      </c>
      <c r="D53" s="35" t="s">
        <v>1090</v>
      </c>
      <c r="E53" s="35" t="s">
        <v>1091</v>
      </c>
      <c r="F53" s="35" t="s">
        <v>1092</v>
      </c>
      <c r="G53" s="35">
        <v>4</v>
      </c>
      <c r="H53" s="35">
        <v>250000</v>
      </c>
      <c r="I53" s="35">
        <v>1</v>
      </c>
    </row>
    <row r="54" spans="1:9" x14ac:dyDescent="0.2">
      <c r="A54" s="35" t="s">
        <v>1093</v>
      </c>
      <c r="B54" s="35" t="s">
        <v>1089</v>
      </c>
      <c r="C54" s="35">
        <v>30</v>
      </c>
      <c r="D54" s="35" t="s">
        <v>1094</v>
      </c>
      <c r="E54" s="35" t="s">
        <v>1095</v>
      </c>
      <c r="F54" s="35" t="s">
        <v>1096</v>
      </c>
      <c r="G54" s="35">
        <v>4</v>
      </c>
      <c r="H54" s="35">
        <v>250000</v>
      </c>
      <c r="I54" s="35">
        <v>1</v>
      </c>
    </row>
    <row r="55" spans="1:9" x14ac:dyDescent="0.2">
      <c r="A55" s="35"/>
      <c r="B55" s="35"/>
      <c r="C55" s="35"/>
      <c r="D55" s="35"/>
      <c r="E55" s="35"/>
      <c r="F55" s="35"/>
      <c r="G55" s="35"/>
      <c r="H55" s="35"/>
      <c r="I55" s="35"/>
    </row>
    <row r="56" spans="1:9" x14ac:dyDescent="0.2">
      <c r="A56" s="35"/>
      <c r="B56" s="35"/>
      <c r="C56" s="35"/>
      <c r="D56" s="35"/>
      <c r="E56" s="35"/>
      <c r="F56" s="35"/>
      <c r="G56" s="35"/>
      <c r="H56" s="35"/>
      <c r="I56" s="35"/>
    </row>
    <row r="57" spans="1:9" x14ac:dyDescent="0.2">
      <c r="A57" s="35"/>
      <c r="B57" s="35"/>
      <c r="C57" s="35"/>
      <c r="D57" s="35"/>
      <c r="E57" s="35"/>
      <c r="F57" s="35"/>
      <c r="G57" s="35"/>
      <c r="H57" s="35"/>
      <c r="I57" s="35"/>
    </row>
    <row r="58" spans="1:9" x14ac:dyDescent="0.2">
      <c r="A58" s="35"/>
      <c r="B58" s="35"/>
      <c r="C58" s="35"/>
      <c r="D58" s="35"/>
      <c r="E58" s="35"/>
      <c r="F58" s="35"/>
      <c r="G58" s="35"/>
      <c r="H58" s="35"/>
      <c r="I58" s="35"/>
    </row>
    <row r="59" spans="1:9" x14ac:dyDescent="0.2">
      <c r="A59" s="35"/>
      <c r="B59" s="35"/>
      <c r="C59" s="35"/>
      <c r="D59" s="35"/>
      <c r="E59" s="35"/>
      <c r="F59" s="35"/>
      <c r="G59" s="35"/>
      <c r="H59" s="35"/>
      <c r="I59" s="35"/>
    </row>
    <row r="60" spans="1:9" x14ac:dyDescent="0.2">
      <c r="A60" s="35"/>
      <c r="B60" s="35"/>
      <c r="C60" s="35"/>
      <c r="D60" s="35"/>
      <c r="E60" s="35"/>
      <c r="F60" s="35"/>
      <c r="G60" s="35"/>
      <c r="H60" s="35"/>
      <c r="I60" s="35"/>
    </row>
    <row r="61" spans="1:9" x14ac:dyDescent="0.2">
      <c r="A61" s="35"/>
      <c r="B61" s="35"/>
      <c r="C61" s="35"/>
      <c r="D61" s="35"/>
      <c r="E61" s="35"/>
      <c r="F61" s="35"/>
      <c r="G61" s="35"/>
      <c r="H61" s="35"/>
      <c r="I61" s="35"/>
    </row>
    <row r="62" spans="1:9" x14ac:dyDescent="0.2">
      <c r="A62" s="35"/>
      <c r="B62" s="35"/>
      <c r="C62" s="35"/>
      <c r="D62" s="35"/>
      <c r="E62" s="35"/>
      <c r="F62" s="35"/>
      <c r="G62" s="35"/>
      <c r="H62" s="35"/>
      <c r="I62" s="35"/>
    </row>
    <row r="63" spans="1:9" x14ac:dyDescent="0.2">
      <c r="A63" s="35"/>
      <c r="B63" s="35"/>
      <c r="C63" s="35"/>
      <c r="D63" s="35"/>
      <c r="E63" s="35"/>
      <c r="F63" s="35"/>
      <c r="G63" s="35"/>
      <c r="H63" s="35"/>
      <c r="I63" s="35"/>
    </row>
    <row r="64" spans="1:9" x14ac:dyDescent="0.2">
      <c r="A64" s="35"/>
      <c r="B64" s="35"/>
      <c r="C64" s="35"/>
      <c r="D64" s="35"/>
      <c r="E64" s="35"/>
      <c r="F64" s="35"/>
      <c r="G64" s="35"/>
      <c r="H64" s="35"/>
      <c r="I64" s="35"/>
    </row>
    <row r="65" spans="1:9" x14ac:dyDescent="0.2">
      <c r="A65" s="35"/>
      <c r="B65" s="35"/>
      <c r="C65" s="35"/>
      <c r="D65" s="35"/>
      <c r="E65" s="35"/>
      <c r="F65" s="35"/>
      <c r="G65" s="35"/>
      <c r="H65" s="35"/>
      <c r="I65" s="35"/>
    </row>
    <row r="66" spans="1:9" x14ac:dyDescent="0.2">
      <c r="A66" s="35"/>
      <c r="B66" s="35"/>
      <c r="C66" s="35"/>
      <c r="D66" s="35"/>
      <c r="E66" s="35"/>
      <c r="F66" s="35"/>
      <c r="G66" s="35"/>
      <c r="H66" s="35"/>
      <c r="I66" s="35"/>
    </row>
    <row r="67" spans="1:9" x14ac:dyDescent="0.2">
      <c r="A67" s="35"/>
      <c r="B67" s="35"/>
      <c r="C67" s="35"/>
      <c r="D67" s="35"/>
      <c r="E67" s="35"/>
      <c r="F67" s="35"/>
      <c r="G67" s="35"/>
      <c r="H67" s="35"/>
      <c r="I67" s="35"/>
    </row>
    <row r="68" spans="1:9" x14ac:dyDescent="0.2">
      <c r="A68" s="35"/>
      <c r="B68" s="35"/>
      <c r="C68" s="35"/>
      <c r="D68" s="35"/>
      <c r="E68" s="35"/>
      <c r="F68" s="35"/>
      <c r="G68" s="35"/>
      <c r="H68" s="35"/>
      <c r="I68" s="35"/>
    </row>
    <row r="69" spans="1:9" x14ac:dyDescent="0.2">
      <c r="A69" s="35"/>
      <c r="B69" s="35"/>
      <c r="C69" s="35"/>
      <c r="D69" s="35"/>
      <c r="E69" s="35"/>
      <c r="F69" s="35"/>
      <c r="G69" s="35"/>
      <c r="H69" s="35"/>
      <c r="I69" s="35"/>
    </row>
    <row r="70" spans="1:9" x14ac:dyDescent="0.2">
      <c r="A70" s="35"/>
      <c r="B70" s="35"/>
      <c r="C70" s="35"/>
      <c r="D70" s="35"/>
      <c r="E70" s="35"/>
      <c r="F70" s="35"/>
      <c r="G70" s="35"/>
      <c r="H70" s="35"/>
      <c r="I70" s="35"/>
    </row>
    <row r="71" spans="1:9" x14ac:dyDescent="0.2">
      <c r="A71" s="35"/>
      <c r="B71" s="35"/>
      <c r="C71" s="35"/>
      <c r="D71" s="35"/>
      <c r="E71" s="35"/>
      <c r="F71" s="35"/>
      <c r="G71" s="35"/>
      <c r="H71" s="35"/>
      <c r="I71" s="35"/>
    </row>
    <row r="72" spans="1:9" x14ac:dyDescent="0.2">
      <c r="A72" s="35"/>
      <c r="B72" s="35"/>
      <c r="C72" s="35"/>
      <c r="D72" s="35"/>
      <c r="E72" s="35"/>
      <c r="F72" s="35"/>
      <c r="G72" s="35"/>
      <c r="H72" s="35"/>
      <c r="I72" s="35"/>
    </row>
    <row r="73" spans="1:9" x14ac:dyDescent="0.2">
      <c r="A73" s="35"/>
      <c r="B73" s="35"/>
      <c r="C73" s="35"/>
      <c r="D73" s="35"/>
      <c r="E73" s="35"/>
      <c r="F73" s="35"/>
      <c r="G73" s="35"/>
      <c r="H73" s="35"/>
      <c r="I73" s="35"/>
    </row>
    <row r="74" spans="1:9" x14ac:dyDescent="0.2">
      <c r="A74" s="35"/>
      <c r="B74" s="35"/>
      <c r="C74" s="35"/>
      <c r="D74" s="35"/>
      <c r="E74" s="35"/>
      <c r="F74" s="35"/>
      <c r="G74" s="35"/>
      <c r="H74" s="35"/>
      <c r="I74" s="35"/>
    </row>
    <row r="75" spans="1:9" x14ac:dyDescent="0.2">
      <c r="A75" s="35"/>
      <c r="B75" s="35"/>
      <c r="C75" s="35"/>
      <c r="D75" s="35"/>
      <c r="E75" s="35"/>
      <c r="F75" s="35"/>
      <c r="G75" s="35"/>
      <c r="H75" s="35"/>
      <c r="I75" s="35"/>
    </row>
    <row r="76" spans="1:9" x14ac:dyDescent="0.2">
      <c r="A76" s="35"/>
      <c r="B76" s="35"/>
      <c r="C76" s="35"/>
      <c r="D76" s="35"/>
      <c r="E76" s="35"/>
      <c r="F76" s="35"/>
      <c r="G76" s="35"/>
      <c r="H76" s="35"/>
      <c r="I76" s="35"/>
    </row>
    <row r="77" spans="1:9" x14ac:dyDescent="0.2">
      <c r="A77" s="35"/>
      <c r="B77" s="35"/>
      <c r="C77" s="35"/>
      <c r="D77" s="35"/>
      <c r="E77" s="35"/>
      <c r="F77" s="35"/>
      <c r="G77" s="35"/>
      <c r="H77" s="35"/>
      <c r="I77" s="35"/>
    </row>
    <row r="78" spans="1:9" x14ac:dyDescent="0.2">
      <c r="A78" s="35"/>
      <c r="B78" s="35"/>
      <c r="C78" s="35"/>
      <c r="D78" s="35"/>
      <c r="E78" s="35"/>
      <c r="F78" s="35"/>
      <c r="G78" s="35"/>
      <c r="H78" s="35"/>
      <c r="I78" s="35"/>
    </row>
    <row r="79" spans="1:9" x14ac:dyDescent="0.2">
      <c r="A79" s="35"/>
      <c r="B79" s="35"/>
      <c r="C79" s="35"/>
      <c r="D79" s="35"/>
      <c r="E79" s="35"/>
      <c r="F79" s="35"/>
      <c r="G79" s="35"/>
      <c r="H79" s="35"/>
      <c r="I79" s="35"/>
    </row>
    <row r="80" spans="1:9" x14ac:dyDescent="0.2">
      <c r="A80" s="35"/>
      <c r="B80" s="35"/>
      <c r="C80" s="35"/>
      <c r="D80" s="35"/>
      <c r="E80" s="35"/>
      <c r="F80" s="35"/>
      <c r="G80" s="35"/>
      <c r="H80" s="35"/>
      <c r="I80" s="35"/>
    </row>
    <row r="81" spans="1:9" x14ac:dyDescent="0.2">
      <c r="A81" s="35"/>
      <c r="B81" s="35"/>
      <c r="C81" s="35"/>
      <c r="D81" s="35"/>
      <c r="E81" s="35"/>
      <c r="F81" s="35"/>
      <c r="G81" s="35"/>
      <c r="H81" s="35"/>
      <c r="I81" s="35"/>
    </row>
    <row r="82" spans="1:9" x14ac:dyDescent="0.2">
      <c r="A82" s="35"/>
      <c r="B82" s="35"/>
      <c r="C82" s="35"/>
      <c r="D82" s="35"/>
      <c r="E82" s="35"/>
      <c r="F82" s="35"/>
      <c r="G82" s="35"/>
      <c r="H82" s="35"/>
      <c r="I82" s="35"/>
    </row>
    <row r="83" spans="1:9" x14ac:dyDescent="0.2">
      <c r="A83" s="35"/>
      <c r="B83" s="35"/>
      <c r="C83" s="35"/>
      <c r="D83" s="35"/>
      <c r="E83" s="35"/>
      <c r="F83" s="35"/>
      <c r="G83" s="35"/>
      <c r="H83" s="35"/>
      <c r="I83" s="35"/>
    </row>
    <row r="84" spans="1:9" x14ac:dyDescent="0.2">
      <c r="A84" s="35"/>
      <c r="B84" s="35"/>
      <c r="C84" s="35"/>
      <c r="D84" s="35"/>
      <c r="E84" s="35"/>
      <c r="F84" s="35"/>
      <c r="G84" s="35"/>
      <c r="H84" s="35"/>
      <c r="I84" s="35"/>
    </row>
    <row r="85" spans="1:9" x14ac:dyDescent="0.2">
      <c r="A85" s="35"/>
      <c r="B85" s="35"/>
      <c r="C85" s="35"/>
      <c r="D85" s="35"/>
      <c r="E85" s="35"/>
      <c r="F85" s="35"/>
      <c r="G85" s="35"/>
      <c r="H85" s="35"/>
      <c r="I85" s="35"/>
    </row>
    <row r="86" spans="1:9" x14ac:dyDescent="0.2">
      <c r="A86" s="35"/>
      <c r="B86" s="35"/>
      <c r="C86" s="35"/>
      <c r="D86" s="35"/>
      <c r="E86" s="35"/>
      <c r="F86" s="35"/>
      <c r="G86" s="35"/>
      <c r="H86" s="35"/>
      <c r="I86" s="35"/>
    </row>
    <row r="87" spans="1:9" x14ac:dyDescent="0.2">
      <c r="A87" s="35"/>
      <c r="B87" s="35"/>
      <c r="C87" s="35"/>
      <c r="D87" s="35"/>
      <c r="E87" s="35"/>
      <c r="F87" s="35"/>
      <c r="G87" s="35"/>
      <c r="H87" s="35"/>
      <c r="I87" s="35"/>
    </row>
    <row r="88" spans="1:9" x14ac:dyDescent="0.2">
      <c r="A88" s="35"/>
      <c r="B88" s="35"/>
      <c r="C88" s="35"/>
      <c r="D88" s="35"/>
      <c r="E88" s="35"/>
      <c r="F88" s="35"/>
      <c r="G88" s="35"/>
      <c r="H88" s="35"/>
      <c r="I88" s="35"/>
    </row>
    <row r="89" spans="1:9" x14ac:dyDescent="0.2">
      <c r="A89" s="35"/>
      <c r="B89" s="35"/>
      <c r="C89" s="35"/>
      <c r="D89" s="35"/>
      <c r="E89" s="35"/>
      <c r="F89" s="35"/>
      <c r="G89" s="35"/>
      <c r="H89" s="35"/>
      <c r="I89" s="35"/>
    </row>
    <row r="90" spans="1:9" x14ac:dyDescent="0.2">
      <c r="A90" s="35"/>
      <c r="B90" s="35"/>
      <c r="C90" s="35"/>
      <c r="D90" s="35"/>
      <c r="E90" s="35"/>
      <c r="F90" s="35"/>
      <c r="G90" s="35"/>
      <c r="H90" s="35"/>
      <c r="I90" s="35"/>
    </row>
    <row r="91" spans="1:9" x14ac:dyDescent="0.2">
      <c r="A91" s="35"/>
      <c r="B91" s="35"/>
      <c r="C91" s="35"/>
      <c r="D91" s="35"/>
      <c r="E91" s="35"/>
      <c r="F91" s="35"/>
      <c r="G91" s="35"/>
      <c r="H91" s="35"/>
      <c r="I91" s="35"/>
    </row>
    <row r="92" spans="1:9" x14ac:dyDescent="0.2">
      <c r="A92" s="35"/>
      <c r="B92" s="35"/>
      <c r="C92" s="35"/>
      <c r="D92" s="35"/>
      <c r="E92" s="35"/>
      <c r="F92" s="35"/>
      <c r="G92" s="35"/>
      <c r="H92" s="35"/>
      <c r="I92" s="35"/>
    </row>
    <row r="93" spans="1:9" x14ac:dyDescent="0.2">
      <c r="A93" s="35"/>
      <c r="B93" s="35"/>
      <c r="C93" s="35"/>
      <c r="D93" s="35"/>
      <c r="E93" s="35"/>
      <c r="F93" s="35"/>
      <c r="G93" s="35"/>
      <c r="H93" s="35"/>
      <c r="I93" s="35"/>
    </row>
    <row r="94" spans="1:9" x14ac:dyDescent="0.2">
      <c r="A94" s="35"/>
      <c r="B94" s="35"/>
      <c r="C94" s="35"/>
      <c r="D94" s="35"/>
      <c r="E94" s="35"/>
      <c r="F94" s="35"/>
      <c r="G94" s="35"/>
      <c r="H94" s="35"/>
      <c r="I94" s="35"/>
    </row>
    <row r="95" spans="1:9" x14ac:dyDescent="0.2">
      <c r="A95" s="35"/>
      <c r="B95" s="35"/>
      <c r="C95" s="35"/>
      <c r="D95" s="35"/>
      <c r="E95" s="35"/>
      <c r="F95" s="35"/>
      <c r="G95" s="35"/>
      <c r="H95" s="35"/>
      <c r="I95" s="35"/>
    </row>
    <row r="96" spans="1:9" x14ac:dyDescent="0.2">
      <c r="A96" s="35"/>
      <c r="B96" s="35"/>
      <c r="C96" s="35"/>
      <c r="D96" s="35"/>
      <c r="E96" s="35"/>
      <c r="F96" s="35"/>
      <c r="G96" s="35"/>
      <c r="H96" s="35"/>
      <c r="I96" s="35"/>
    </row>
    <row r="97" spans="1:9" x14ac:dyDescent="0.2">
      <c r="A97" s="35"/>
      <c r="B97" s="35"/>
      <c r="C97" s="35"/>
      <c r="D97" s="35"/>
      <c r="E97" s="35"/>
      <c r="F97" s="35"/>
      <c r="G97" s="35"/>
      <c r="H97" s="35"/>
      <c r="I97" s="35"/>
    </row>
    <row r="98" spans="1:9" x14ac:dyDescent="0.2">
      <c r="A98" s="35"/>
      <c r="B98" s="35"/>
      <c r="C98" s="35"/>
      <c r="D98" s="35"/>
      <c r="E98" s="35"/>
      <c r="F98" s="35"/>
      <c r="G98" s="35"/>
      <c r="H98" s="35"/>
      <c r="I98" s="35"/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15" sqref="B15:D18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41" t="s">
        <v>136</v>
      </c>
      <c r="B1" s="41"/>
      <c r="C1" s="41"/>
      <c r="D1" s="41"/>
      <c r="E1" s="41"/>
      <c r="F1" s="41"/>
      <c r="G1" s="41"/>
      <c r="H1" s="41"/>
      <c r="I1" s="41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4">
        <v>3</v>
      </c>
      <c r="D3" s="14">
        <v>-1</v>
      </c>
      <c r="E3" s="14">
        <v>0</v>
      </c>
      <c r="F3" s="14">
        <v>1</v>
      </c>
      <c r="G3" s="14">
        <v>2</v>
      </c>
      <c r="H3" s="14">
        <v>0</v>
      </c>
      <c r="I3" s="14">
        <v>0</v>
      </c>
    </row>
    <row r="4" spans="1:10" x14ac:dyDescent="0.2">
      <c r="A4" t="s">
        <v>140</v>
      </c>
      <c r="B4" s="16">
        <v>4</v>
      </c>
      <c r="C4" s="14">
        <v>-1</v>
      </c>
      <c r="D4" s="14">
        <v>1</v>
      </c>
      <c r="E4" s="14">
        <v>2</v>
      </c>
      <c r="F4" s="14">
        <v>0</v>
      </c>
      <c r="G4" s="14">
        <v>-1</v>
      </c>
      <c r="H4" s="14">
        <v>2</v>
      </c>
      <c r="I4" s="14">
        <v>3</v>
      </c>
    </row>
    <row r="5" spans="1:10" x14ac:dyDescent="0.2">
      <c r="A5" t="s">
        <v>141</v>
      </c>
      <c r="B5" s="16">
        <v>4</v>
      </c>
      <c r="C5" s="14">
        <v>1</v>
      </c>
      <c r="D5" s="14">
        <v>1</v>
      </c>
      <c r="E5" s="14" t="s">
        <v>150</v>
      </c>
      <c r="F5" s="14">
        <v>2</v>
      </c>
      <c r="G5" s="14">
        <v>1</v>
      </c>
      <c r="H5" s="14">
        <v>0</v>
      </c>
      <c r="I5" s="14">
        <v>0</v>
      </c>
    </row>
    <row r="6" spans="1:10" x14ac:dyDescent="0.2">
      <c r="A6" t="s">
        <v>142</v>
      </c>
      <c r="B6" s="17">
        <v>4</v>
      </c>
      <c r="C6" s="14">
        <v>0</v>
      </c>
      <c r="D6" s="14">
        <v>2</v>
      </c>
      <c r="E6" s="14">
        <v>2</v>
      </c>
      <c r="F6" s="14">
        <v>0</v>
      </c>
      <c r="G6" s="14">
        <v>1</v>
      </c>
      <c r="H6" s="14">
        <v>1</v>
      </c>
      <c r="I6" s="14">
        <v>0</v>
      </c>
    </row>
    <row r="7" spans="1:10" x14ac:dyDescent="0.2">
      <c r="B7" s="16" t="s">
        <v>151</v>
      </c>
      <c r="C7" s="19">
        <f>C3+C4+C5+C6</f>
        <v>3</v>
      </c>
      <c r="D7" s="19">
        <f t="shared" ref="D7:I7" si="0">D3+D4+D5+D6</f>
        <v>3</v>
      </c>
      <c r="E7" s="19">
        <f t="shared" si="0"/>
        <v>3</v>
      </c>
      <c r="F7" s="19">
        <f t="shared" si="0"/>
        <v>3</v>
      </c>
      <c r="G7" s="19">
        <f t="shared" si="0"/>
        <v>3</v>
      </c>
      <c r="H7" s="19">
        <f t="shared" si="0"/>
        <v>3</v>
      </c>
      <c r="I7" s="19">
        <f t="shared" si="0"/>
        <v>3</v>
      </c>
      <c r="J7" t="s">
        <v>153</v>
      </c>
    </row>
    <row r="8" spans="1:10" x14ac:dyDescent="0.2">
      <c r="B8" s="42" t="s">
        <v>152</v>
      </c>
      <c r="C8" s="43"/>
    </row>
    <row r="9" spans="1:10" x14ac:dyDescent="0.2">
      <c r="C9" s="18">
        <f>$B$3+C3</f>
        <v>7</v>
      </c>
      <c r="D9" s="18">
        <f t="shared" ref="D9:I9" si="1">$B$3+D3</f>
        <v>3</v>
      </c>
      <c r="E9" s="18">
        <f t="shared" si="1"/>
        <v>4</v>
      </c>
      <c r="F9" s="18">
        <f t="shared" si="1"/>
        <v>5</v>
      </c>
      <c r="G9" s="18">
        <f t="shared" si="1"/>
        <v>6</v>
      </c>
      <c r="H9" s="18">
        <f t="shared" si="1"/>
        <v>4</v>
      </c>
      <c r="I9" s="18">
        <f t="shared" si="1"/>
        <v>4</v>
      </c>
    </row>
    <row r="10" spans="1:10" x14ac:dyDescent="0.2">
      <c r="C10" s="18">
        <f>$B$4+C4</f>
        <v>3</v>
      </c>
      <c r="D10" s="18">
        <f t="shared" ref="D10:I10" si="2">$B$4+D4</f>
        <v>5</v>
      </c>
      <c r="E10" s="18">
        <f t="shared" si="2"/>
        <v>6</v>
      </c>
      <c r="F10" s="18">
        <f t="shared" si="2"/>
        <v>4</v>
      </c>
      <c r="G10" s="18">
        <f t="shared" si="2"/>
        <v>3</v>
      </c>
      <c r="H10" s="18">
        <f t="shared" si="2"/>
        <v>6</v>
      </c>
      <c r="I10" s="18">
        <f t="shared" si="2"/>
        <v>7</v>
      </c>
    </row>
    <row r="11" spans="1:10" x14ac:dyDescent="0.2">
      <c r="C11" s="18">
        <f>$B$5+C5</f>
        <v>5</v>
      </c>
      <c r="D11" s="18">
        <f t="shared" ref="D11:I11" si="3">$B$5+D5</f>
        <v>5</v>
      </c>
      <c r="E11" s="18">
        <f t="shared" si="3"/>
        <v>3</v>
      </c>
      <c r="F11" s="18">
        <f t="shared" si="3"/>
        <v>6</v>
      </c>
      <c r="G11" s="18">
        <f t="shared" si="3"/>
        <v>5</v>
      </c>
      <c r="H11" s="18">
        <f t="shared" si="3"/>
        <v>4</v>
      </c>
      <c r="I11" s="18">
        <f t="shared" si="3"/>
        <v>4</v>
      </c>
    </row>
    <row r="12" spans="1:10" x14ac:dyDescent="0.2">
      <c r="C12" s="18">
        <f>$B$5+C6</f>
        <v>4</v>
      </c>
      <c r="D12" s="18">
        <f t="shared" ref="D12:I12" si="4">$B$5+D6</f>
        <v>6</v>
      </c>
      <c r="E12" s="18">
        <f t="shared" si="4"/>
        <v>6</v>
      </c>
      <c r="F12" s="18">
        <f t="shared" si="4"/>
        <v>4</v>
      </c>
      <c r="G12" s="18">
        <f t="shared" si="4"/>
        <v>5</v>
      </c>
      <c r="H12" s="18">
        <f t="shared" si="4"/>
        <v>5</v>
      </c>
      <c r="I12" s="18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44" t="s">
        <v>169</v>
      </c>
      <c r="B1" s="44"/>
      <c r="C1" s="44"/>
      <c r="D1" s="44"/>
      <c r="E1" s="44"/>
      <c r="F1" s="44"/>
    </row>
    <row r="2" spans="1:8" x14ac:dyDescent="0.2">
      <c r="A2" t="s">
        <v>170</v>
      </c>
      <c r="B2" t="s">
        <v>171</v>
      </c>
      <c r="D2" t="s">
        <v>172</v>
      </c>
      <c r="E2" t="s">
        <v>171</v>
      </c>
      <c r="G2" t="s">
        <v>175</v>
      </c>
      <c r="H2" t="s">
        <v>171</v>
      </c>
    </row>
    <row r="3" spans="1:8" x14ac:dyDescent="0.2">
      <c r="A3">
        <v>2</v>
      </c>
      <c r="B3">
        <v>3</v>
      </c>
      <c r="D3">
        <v>2</v>
      </c>
      <c r="E3" s="15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5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5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5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5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5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5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5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5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5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5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5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5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5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5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5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5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5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5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5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5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5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5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5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5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5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5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5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5">
        <f t="shared" si="1"/>
        <v>56.000000011175871</v>
      </c>
      <c r="G31">
        <v>30</v>
      </c>
    </row>
    <row r="33" spans="1:4" x14ac:dyDescent="0.2">
      <c r="A33" t="s">
        <v>173</v>
      </c>
      <c r="D33" t="s">
        <v>174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0506-9043-FD49-8776-FF2C527B770F}">
  <dimension ref="A1:C22"/>
  <sheetViews>
    <sheetView workbookViewId="0">
      <selection activeCell="B12" sqref="B12"/>
    </sheetView>
  </sheetViews>
  <sheetFormatPr baseColWidth="10" defaultRowHeight="16" x14ac:dyDescent="0.2"/>
  <cols>
    <col min="2" max="2" width="13" bestFit="1" customWidth="1"/>
  </cols>
  <sheetData>
    <row r="1" spans="1:3" x14ac:dyDescent="0.2">
      <c r="A1" t="s">
        <v>184</v>
      </c>
    </row>
    <row r="2" spans="1:3" x14ac:dyDescent="0.2">
      <c r="A2" t="s">
        <v>185</v>
      </c>
      <c r="B2" t="s">
        <v>186</v>
      </c>
    </row>
    <row r="3" spans="1:3" x14ac:dyDescent="0.2">
      <c r="A3">
        <v>1</v>
      </c>
      <c r="B3">
        <f>3</f>
        <v>3</v>
      </c>
      <c r="C3">
        <f>B4-B3</f>
        <v>3</v>
      </c>
    </row>
    <row r="4" spans="1:3" x14ac:dyDescent="0.2">
      <c r="A4">
        <v>2</v>
      </c>
      <c r="B4">
        <f>B3*2</f>
        <v>6</v>
      </c>
      <c r="C4">
        <f t="shared" ref="C4:C21" si="0">B5-B4</f>
        <v>6</v>
      </c>
    </row>
    <row r="5" spans="1:3" x14ac:dyDescent="0.2">
      <c r="A5">
        <v>3</v>
      </c>
      <c r="B5">
        <f t="shared" ref="B5:B22" si="1">B4*2</f>
        <v>12</v>
      </c>
      <c r="C5">
        <f t="shared" si="0"/>
        <v>12</v>
      </c>
    </row>
    <row r="6" spans="1:3" x14ac:dyDescent="0.2">
      <c r="A6">
        <v>4</v>
      </c>
      <c r="B6">
        <f t="shared" si="1"/>
        <v>24</v>
      </c>
      <c r="C6">
        <f t="shared" si="0"/>
        <v>24</v>
      </c>
    </row>
    <row r="7" spans="1:3" x14ac:dyDescent="0.2">
      <c r="A7">
        <v>5</v>
      </c>
      <c r="B7">
        <f t="shared" si="1"/>
        <v>48</v>
      </c>
      <c r="C7">
        <f t="shared" si="0"/>
        <v>48</v>
      </c>
    </row>
    <row r="8" spans="1:3" x14ac:dyDescent="0.2">
      <c r="A8">
        <v>6</v>
      </c>
      <c r="B8">
        <f t="shared" si="1"/>
        <v>96</v>
      </c>
      <c r="C8">
        <f t="shared" si="0"/>
        <v>96</v>
      </c>
    </row>
    <row r="9" spans="1:3" x14ac:dyDescent="0.2">
      <c r="A9">
        <v>7</v>
      </c>
      <c r="B9">
        <f t="shared" si="1"/>
        <v>192</v>
      </c>
      <c r="C9">
        <f t="shared" si="0"/>
        <v>192</v>
      </c>
    </row>
    <row r="10" spans="1:3" x14ac:dyDescent="0.2">
      <c r="A10">
        <v>8</v>
      </c>
      <c r="B10">
        <f t="shared" si="1"/>
        <v>384</v>
      </c>
      <c r="C10">
        <f t="shared" si="0"/>
        <v>384</v>
      </c>
    </row>
    <row r="11" spans="1:3" x14ac:dyDescent="0.2">
      <c r="A11">
        <v>9</v>
      </c>
      <c r="B11">
        <f t="shared" si="1"/>
        <v>768</v>
      </c>
      <c r="C11">
        <f t="shared" si="0"/>
        <v>768</v>
      </c>
    </row>
    <row r="12" spans="1:3" x14ac:dyDescent="0.2">
      <c r="A12">
        <v>10</v>
      </c>
      <c r="B12">
        <f t="shared" si="1"/>
        <v>1536</v>
      </c>
      <c r="C12">
        <f t="shared" si="0"/>
        <v>1536</v>
      </c>
    </row>
    <row r="13" spans="1:3" x14ac:dyDescent="0.2">
      <c r="A13">
        <v>11</v>
      </c>
      <c r="B13">
        <f t="shared" si="1"/>
        <v>3072</v>
      </c>
      <c r="C13">
        <f t="shared" si="0"/>
        <v>3072</v>
      </c>
    </row>
    <row r="14" spans="1:3" x14ac:dyDescent="0.2">
      <c r="A14">
        <v>12</v>
      </c>
      <c r="B14">
        <f t="shared" si="1"/>
        <v>6144</v>
      </c>
      <c r="C14">
        <f t="shared" si="0"/>
        <v>6144</v>
      </c>
    </row>
    <row r="15" spans="1:3" x14ac:dyDescent="0.2">
      <c r="A15">
        <v>13</v>
      </c>
      <c r="B15">
        <f t="shared" si="1"/>
        <v>12288</v>
      </c>
      <c r="C15">
        <f t="shared" si="0"/>
        <v>12288</v>
      </c>
    </row>
    <row r="16" spans="1:3" x14ac:dyDescent="0.2">
      <c r="A16">
        <v>14</v>
      </c>
      <c r="B16">
        <f t="shared" si="1"/>
        <v>24576</v>
      </c>
      <c r="C16">
        <f t="shared" si="0"/>
        <v>24576</v>
      </c>
    </row>
    <row r="17" spans="1:3" x14ac:dyDescent="0.2">
      <c r="A17">
        <v>15</v>
      </c>
      <c r="B17">
        <f t="shared" si="1"/>
        <v>49152</v>
      </c>
      <c r="C17">
        <f t="shared" si="0"/>
        <v>49152</v>
      </c>
    </row>
    <row r="18" spans="1:3" x14ac:dyDescent="0.2">
      <c r="A18">
        <v>16</v>
      </c>
      <c r="B18">
        <f t="shared" si="1"/>
        <v>98304</v>
      </c>
      <c r="C18">
        <f t="shared" si="0"/>
        <v>98304</v>
      </c>
    </row>
    <row r="19" spans="1:3" x14ac:dyDescent="0.2">
      <c r="A19">
        <v>17</v>
      </c>
      <c r="B19">
        <f t="shared" si="1"/>
        <v>196608</v>
      </c>
      <c r="C19">
        <f t="shared" si="0"/>
        <v>196608</v>
      </c>
    </row>
    <row r="20" spans="1:3" x14ac:dyDescent="0.2">
      <c r="A20">
        <v>18</v>
      </c>
      <c r="B20">
        <f t="shared" si="1"/>
        <v>393216</v>
      </c>
      <c r="C20">
        <f t="shared" si="0"/>
        <v>393216</v>
      </c>
    </row>
    <row r="21" spans="1:3" x14ac:dyDescent="0.2">
      <c r="A21">
        <v>19</v>
      </c>
      <c r="B21">
        <f t="shared" si="1"/>
        <v>786432</v>
      </c>
      <c r="C21">
        <f t="shared" si="0"/>
        <v>786432</v>
      </c>
    </row>
    <row r="22" spans="1:3" x14ac:dyDescent="0.2">
      <c r="A22">
        <v>20</v>
      </c>
      <c r="B22">
        <f t="shared" si="1"/>
        <v>1572864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A1C2-3980-0A43-BAB4-97CD0871BBE3}">
  <dimension ref="A1:L20"/>
  <sheetViews>
    <sheetView topLeftCell="A5" zoomScale="149" zoomScaleNormal="149" workbookViewId="0">
      <selection activeCell="L21" sqref="L21"/>
    </sheetView>
  </sheetViews>
  <sheetFormatPr baseColWidth="10" defaultRowHeight="16" x14ac:dyDescent="0.2"/>
  <cols>
    <col min="1" max="1" width="14.5" bestFit="1" customWidth="1"/>
    <col min="11" max="11" width="3" customWidth="1"/>
  </cols>
  <sheetData>
    <row r="1" spans="1:12" x14ac:dyDescent="0.2">
      <c r="A1" s="20"/>
      <c r="B1" s="21" t="s">
        <v>137</v>
      </c>
      <c r="C1" s="20" t="s">
        <v>143</v>
      </c>
      <c r="D1" s="20" t="s">
        <v>144</v>
      </c>
      <c r="E1" s="20" t="s">
        <v>145</v>
      </c>
      <c r="F1" s="20" t="s">
        <v>146</v>
      </c>
      <c r="G1" s="20" t="s">
        <v>147</v>
      </c>
      <c r="H1" s="20" t="s">
        <v>148</v>
      </c>
      <c r="I1" s="20" t="s">
        <v>149</v>
      </c>
    </row>
    <row r="2" spans="1:12" x14ac:dyDescent="0.2">
      <c r="A2" s="20" t="s">
        <v>139</v>
      </c>
      <c r="B2" s="22">
        <v>4</v>
      </c>
      <c r="C2" s="23">
        <v>3</v>
      </c>
      <c r="D2" s="23">
        <v>-1</v>
      </c>
      <c r="E2" s="23">
        <v>0</v>
      </c>
      <c r="F2" s="23">
        <v>1</v>
      </c>
      <c r="G2" s="23">
        <v>2</v>
      </c>
      <c r="H2" s="23">
        <v>0</v>
      </c>
      <c r="I2" s="23">
        <v>0</v>
      </c>
    </row>
    <row r="3" spans="1:12" x14ac:dyDescent="0.2">
      <c r="A3" s="20" t="s">
        <v>140</v>
      </c>
      <c r="B3" s="22">
        <v>4</v>
      </c>
      <c r="C3" s="23">
        <v>-1</v>
      </c>
      <c r="D3" s="23">
        <v>1</v>
      </c>
      <c r="E3" s="23">
        <v>2</v>
      </c>
      <c r="F3" s="23">
        <v>0</v>
      </c>
      <c r="G3" s="23">
        <v>-1</v>
      </c>
      <c r="H3" s="23">
        <v>2</v>
      </c>
      <c r="I3" s="23">
        <v>3</v>
      </c>
    </row>
    <row r="4" spans="1:12" x14ac:dyDescent="0.2">
      <c r="A4" s="20" t="s">
        <v>141</v>
      </c>
      <c r="B4" s="22">
        <v>4</v>
      </c>
      <c r="C4" s="23">
        <v>1</v>
      </c>
      <c r="D4" s="23">
        <v>1</v>
      </c>
      <c r="E4" s="23">
        <v>-1</v>
      </c>
      <c r="F4" s="23">
        <v>2</v>
      </c>
      <c r="G4" s="23">
        <v>1</v>
      </c>
      <c r="H4" s="23">
        <v>0</v>
      </c>
      <c r="I4" s="23">
        <v>0</v>
      </c>
    </row>
    <row r="5" spans="1:12" x14ac:dyDescent="0.2">
      <c r="A5" s="20" t="s">
        <v>142</v>
      </c>
      <c r="B5" s="24">
        <v>4</v>
      </c>
      <c r="C5" s="23">
        <v>0</v>
      </c>
      <c r="D5" s="23">
        <v>2</v>
      </c>
      <c r="E5" s="23">
        <v>2</v>
      </c>
      <c r="F5" s="23">
        <v>0</v>
      </c>
      <c r="G5" s="23">
        <v>1</v>
      </c>
      <c r="H5" s="23">
        <v>1</v>
      </c>
      <c r="I5" s="23">
        <v>0</v>
      </c>
    </row>
    <row r="6" spans="1:12" x14ac:dyDescent="0.2">
      <c r="A6" s="20"/>
      <c r="B6" s="21" t="s">
        <v>151</v>
      </c>
      <c r="C6" s="25">
        <v>3</v>
      </c>
      <c r="D6" s="25">
        <v>3</v>
      </c>
      <c r="E6" s="25">
        <v>3</v>
      </c>
      <c r="F6" s="25">
        <v>3</v>
      </c>
      <c r="G6" s="25">
        <v>3</v>
      </c>
      <c r="H6" s="25">
        <v>3</v>
      </c>
      <c r="I6" s="25">
        <v>3</v>
      </c>
    </row>
    <row r="7" spans="1:12" x14ac:dyDescent="0.2">
      <c r="A7" s="20"/>
      <c r="B7" s="45" t="s">
        <v>152</v>
      </c>
      <c r="C7" s="46"/>
      <c r="D7" s="20"/>
      <c r="E7" s="20"/>
      <c r="F7" s="20"/>
      <c r="G7" s="20"/>
      <c r="H7" s="20"/>
      <c r="I7" s="20"/>
    </row>
    <row r="8" spans="1:12" x14ac:dyDescent="0.2">
      <c r="A8" s="20"/>
      <c r="B8" s="20"/>
      <c r="C8" s="26">
        <v>7</v>
      </c>
      <c r="D8" s="27">
        <v>3</v>
      </c>
      <c r="E8" s="27">
        <v>4</v>
      </c>
      <c r="F8" s="27">
        <v>5</v>
      </c>
      <c r="G8" s="27">
        <v>6</v>
      </c>
      <c r="H8" s="27">
        <v>4</v>
      </c>
      <c r="I8" s="27">
        <v>4</v>
      </c>
    </row>
    <row r="9" spans="1:12" x14ac:dyDescent="0.2">
      <c r="A9" s="20"/>
      <c r="B9" s="20"/>
      <c r="C9" s="28">
        <v>3</v>
      </c>
      <c r="D9" s="29">
        <v>5</v>
      </c>
      <c r="E9" s="29">
        <v>6</v>
      </c>
      <c r="F9" s="29">
        <v>4</v>
      </c>
      <c r="G9" s="29">
        <v>3</v>
      </c>
      <c r="H9" s="29">
        <v>6</v>
      </c>
      <c r="I9" s="29">
        <v>7</v>
      </c>
    </row>
    <row r="10" spans="1:12" x14ac:dyDescent="0.2">
      <c r="A10" s="20"/>
      <c r="B10" s="20"/>
      <c r="C10" s="28">
        <v>5</v>
      </c>
      <c r="D10" s="29">
        <v>5</v>
      </c>
      <c r="E10" s="29">
        <v>3</v>
      </c>
      <c r="F10" s="29">
        <v>6</v>
      </c>
      <c r="G10" s="29">
        <v>5</v>
      </c>
      <c r="H10" s="29">
        <v>4</v>
      </c>
      <c r="I10" s="29">
        <v>4</v>
      </c>
    </row>
    <row r="11" spans="1:12" x14ac:dyDescent="0.2">
      <c r="A11" s="20"/>
      <c r="B11" s="20"/>
      <c r="C11" s="28">
        <v>4</v>
      </c>
      <c r="D11" s="29">
        <v>6</v>
      </c>
      <c r="E11" s="29">
        <v>6</v>
      </c>
      <c r="F11" s="29">
        <v>4</v>
      </c>
      <c r="G11" s="29">
        <v>5</v>
      </c>
      <c r="H11" s="29">
        <v>5</v>
      </c>
      <c r="I11" s="29">
        <v>4</v>
      </c>
    </row>
    <row r="15" spans="1:12" x14ac:dyDescent="0.2">
      <c r="A15" t="s">
        <v>191</v>
      </c>
      <c r="B15" s="16" t="s">
        <v>187</v>
      </c>
      <c r="C15" s="16" t="s">
        <v>188</v>
      </c>
      <c r="D15" s="16" t="s">
        <v>189</v>
      </c>
      <c r="E15" s="16" t="s">
        <v>146</v>
      </c>
      <c r="F15" s="16" t="s">
        <v>190</v>
      </c>
      <c r="G15" s="16" t="s">
        <v>126</v>
      </c>
      <c r="H15" s="16" t="s">
        <v>124</v>
      </c>
      <c r="J15" t="s">
        <v>138</v>
      </c>
      <c r="L15" t="s">
        <v>200</v>
      </c>
    </row>
    <row r="16" spans="1:12" x14ac:dyDescent="0.2">
      <c r="A16" t="s">
        <v>192</v>
      </c>
      <c r="B16" s="30" t="s">
        <v>195</v>
      </c>
      <c r="C16" s="30" t="s">
        <v>196</v>
      </c>
      <c r="D16" s="30" t="s">
        <v>196</v>
      </c>
      <c r="E16" s="30" t="s">
        <v>197</v>
      </c>
      <c r="F16" s="30" t="s">
        <v>195</v>
      </c>
      <c r="G16" s="30" t="s">
        <v>196</v>
      </c>
      <c r="H16" s="30" t="s">
        <v>196</v>
      </c>
      <c r="J16" t="s">
        <v>154</v>
      </c>
      <c r="L16" t="s">
        <v>198</v>
      </c>
    </row>
    <row r="17" spans="1:12" x14ac:dyDescent="0.2">
      <c r="A17" t="s">
        <v>193</v>
      </c>
      <c r="B17" s="16" t="s">
        <v>196</v>
      </c>
      <c r="C17" s="16" t="s">
        <v>197</v>
      </c>
      <c r="D17" s="16" t="s">
        <v>196</v>
      </c>
      <c r="E17" s="16" t="s">
        <v>196</v>
      </c>
      <c r="F17" s="16" t="s">
        <v>197</v>
      </c>
      <c r="G17" s="16" t="s">
        <v>195</v>
      </c>
      <c r="H17" s="16" t="s">
        <v>201</v>
      </c>
      <c r="J17" t="s">
        <v>155</v>
      </c>
      <c r="L17" t="s">
        <v>199</v>
      </c>
    </row>
    <row r="18" spans="1:12" x14ac:dyDescent="0.2">
      <c r="A18" t="s">
        <v>194</v>
      </c>
      <c r="B18" s="16" t="s">
        <v>197</v>
      </c>
      <c r="C18" s="16" t="s">
        <v>196</v>
      </c>
      <c r="D18" s="16" t="s">
        <v>196</v>
      </c>
      <c r="E18" s="16" t="s">
        <v>197</v>
      </c>
      <c r="F18" s="16" t="s">
        <v>196</v>
      </c>
      <c r="G18" s="16" t="s">
        <v>195</v>
      </c>
      <c r="H18" s="16" t="s">
        <v>197</v>
      </c>
      <c r="J18" t="s">
        <v>156</v>
      </c>
      <c r="L18" t="s">
        <v>161</v>
      </c>
    </row>
    <row r="19" spans="1:12" x14ac:dyDescent="0.2">
      <c r="A19" t="s">
        <v>156</v>
      </c>
      <c r="B19" s="16" t="s">
        <v>196</v>
      </c>
      <c r="C19" s="16" t="s">
        <v>195</v>
      </c>
      <c r="D19" s="16" t="s">
        <v>195</v>
      </c>
      <c r="E19" s="16" t="s">
        <v>197</v>
      </c>
      <c r="F19" s="16" t="s">
        <v>197</v>
      </c>
      <c r="G19" s="16" t="s">
        <v>195</v>
      </c>
      <c r="H19" s="16" t="s">
        <v>201</v>
      </c>
    </row>
    <row r="20" spans="1:12" x14ac:dyDescent="0.2">
      <c r="J20" t="s">
        <v>202</v>
      </c>
      <c r="L20" t="s">
        <v>203</v>
      </c>
    </row>
  </sheetData>
  <mergeCells count="1">
    <mergeCell ref="B7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7B80-3595-CB4B-B56B-C4DEC5895CBA}">
  <dimension ref="A1:F322"/>
  <sheetViews>
    <sheetView topLeftCell="A43" workbookViewId="0">
      <selection activeCell="E80" sqref="E80"/>
    </sheetView>
  </sheetViews>
  <sheetFormatPr baseColWidth="10" defaultRowHeight="16" x14ac:dyDescent="0.2"/>
  <cols>
    <col min="1" max="1" width="13" bestFit="1" customWidth="1"/>
    <col min="2" max="2" width="2" customWidth="1"/>
    <col min="4" max="4" width="1.1640625" customWidth="1"/>
    <col min="5" max="5" width="14.6640625" bestFit="1" customWidth="1"/>
    <col min="6" max="6" width="20.6640625" bestFit="1" customWidth="1"/>
  </cols>
  <sheetData>
    <row r="1" spans="1:6" ht="32" x14ac:dyDescent="0.4">
      <c r="A1" s="47" t="s">
        <v>204</v>
      </c>
      <c r="B1" s="47"/>
      <c r="C1" s="47"/>
      <c r="D1" s="47"/>
      <c r="E1" s="47"/>
      <c r="F1" s="47"/>
    </row>
    <row r="2" spans="1:6" ht="24" x14ac:dyDescent="0.3">
      <c r="A2" s="31" t="s">
        <v>205</v>
      </c>
      <c r="B2" s="31"/>
      <c r="C2" s="31" t="s">
        <v>206</v>
      </c>
      <c r="D2" s="31"/>
      <c r="E2" s="31" t="s">
        <v>207</v>
      </c>
      <c r="F2" s="31" t="s">
        <v>351</v>
      </c>
    </row>
    <row r="3" spans="1:6" x14ac:dyDescent="0.2">
      <c r="A3" t="s">
        <v>716</v>
      </c>
      <c r="C3" t="s">
        <v>868</v>
      </c>
      <c r="E3" t="s">
        <v>676</v>
      </c>
      <c r="F3" t="s">
        <v>724</v>
      </c>
    </row>
    <row r="4" spans="1:6" x14ac:dyDescent="0.2">
      <c r="A4" t="s">
        <v>929</v>
      </c>
      <c r="C4" t="s">
        <v>911</v>
      </c>
    </row>
    <row r="5" spans="1:6" x14ac:dyDescent="0.2">
      <c r="A5" t="s">
        <v>210</v>
      </c>
      <c r="C5" t="s">
        <v>664</v>
      </c>
      <c r="E5" t="s">
        <v>777</v>
      </c>
      <c r="F5" t="s">
        <v>832</v>
      </c>
    </row>
    <row r="6" spans="1:6" x14ac:dyDescent="0.2">
      <c r="A6" t="s">
        <v>753</v>
      </c>
      <c r="C6" t="s">
        <v>233</v>
      </c>
      <c r="E6" t="s">
        <v>673</v>
      </c>
      <c r="F6" t="s">
        <v>817</v>
      </c>
    </row>
    <row r="7" spans="1:6" x14ac:dyDescent="0.2">
      <c r="A7" t="s">
        <v>334</v>
      </c>
      <c r="C7" t="s">
        <v>831</v>
      </c>
      <c r="E7" t="s">
        <v>623</v>
      </c>
      <c r="F7" t="s">
        <v>453</v>
      </c>
    </row>
    <row r="8" spans="1:6" x14ac:dyDescent="0.2">
      <c r="A8" t="s">
        <v>372</v>
      </c>
      <c r="C8" t="s">
        <v>441</v>
      </c>
      <c r="E8" t="s">
        <v>771</v>
      </c>
      <c r="F8" t="s">
        <v>536</v>
      </c>
    </row>
    <row r="9" spans="1:6" x14ac:dyDescent="0.2">
      <c r="A9" t="s">
        <v>889</v>
      </c>
      <c r="C9" t="s">
        <v>861</v>
      </c>
    </row>
    <row r="10" spans="1:6" x14ac:dyDescent="0.2">
      <c r="A10" t="s">
        <v>213</v>
      </c>
      <c r="C10" t="s">
        <v>785</v>
      </c>
      <c r="E10" t="s">
        <v>774</v>
      </c>
      <c r="F10" t="s">
        <v>638</v>
      </c>
    </row>
    <row r="11" spans="1:6" x14ac:dyDescent="0.2">
      <c r="A11" t="s">
        <v>610</v>
      </c>
      <c r="C11" t="s">
        <v>845</v>
      </c>
      <c r="E11" t="s">
        <v>791</v>
      </c>
      <c r="F11" t="s">
        <v>731</v>
      </c>
    </row>
    <row r="12" spans="1:6" x14ac:dyDescent="0.2">
      <c r="A12" t="s">
        <v>523</v>
      </c>
      <c r="C12" t="s">
        <v>547</v>
      </c>
      <c r="E12" t="s">
        <v>674</v>
      </c>
      <c r="F12" t="s">
        <v>670</v>
      </c>
    </row>
    <row r="13" spans="1:6" x14ac:dyDescent="0.2">
      <c r="A13" t="s">
        <v>411</v>
      </c>
      <c r="C13" t="s">
        <v>216</v>
      </c>
      <c r="E13" t="s">
        <v>675</v>
      </c>
      <c r="F13" t="s">
        <v>514</v>
      </c>
    </row>
    <row r="14" spans="1:6" x14ac:dyDescent="0.2">
      <c r="A14" t="s">
        <v>342</v>
      </c>
      <c r="C14" t="s">
        <v>221</v>
      </c>
      <c r="E14" t="s">
        <v>677</v>
      </c>
      <c r="F14" t="s">
        <v>460</v>
      </c>
    </row>
    <row r="15" spans="1:6" x14ac:dyDescent="0.2">
      <c r="A15" t="s">
        <v>212</v>
      </c>
      <c r="C15" t="s">
        <v>345</v>
      </c>
      <c r="E15" t="s">
        <v>680</v>
      </c>
      <c r="F15" t="s">
        <v>842</v>
      </c>
    </row>
    <row r="16" spans="1:6" x14ac:dyDescent="0.2">
      <c r="A16" t="s">
        <v>223</v>
      </c>
      <c r="C16" t="s">
        <v>217</v>
      </c>
      <c r="E16" t="s">
        <v>678</v>
      </c>
      <c r="F16" t="s">
        <v>538</v>
      </c>
    </row>
    <row r="17" spans="1:6" x14ac:dyDescent="0.2">
      <c r="A17" t="s">
        <v>222</v>
      </c>
      <c r="C17" t="s">
        <v>613</v>
      </c>
      <c r="E17" t="s">
        <v>682</v>
      </c>
      <c r="F17" t="s">
        <v>652</v>
      </c>
    </row>
    <row r="18" spans="1:6" x14ac:dyDescent="0.2">
      <c r="A18" t="s">
        <v>525</v>
      </c>
      <c r="C18" t="s">
        <v>219</v>
      </c>
      <c r="E18" t="s">
        <v>772</v>
      </c>
      <c r="F18" t="s">
        <v>360</v>
      </c>
    </row>
    <row r="19" spans="1:6" x14ac:dyDescent="0.2">
      <c r="A19" t="s">
        <v>363</v>
      </c>
      <c r="C19" t="s">
        <v>571</v>
      </c>
      <c r="E19" t="s">
        <v>776</v>
      </c>
      <c r="F19" t="s">
        <v>352</v>
      </c>
    </row>
    <row r="20" spans="1:6" x14ac:dyDescent="0.2">
      <c r="A20" t="s">
        <v>867</v>
      </c>
      <c r="C20" t="s">
        <v>880</v>
      </c>
      <c r="E20" t="s">
        <v>679</v>
      </c>
      <c r="F20" t="s">
        <v>846</v>
      </c>
    </row>
    <row r="21" spans="1:6" x14ac:dyDescent="0.2">
      <c r="A21" t="s">
        <v>763</v>
      </c>
      <c r="C21" t="s">
        <v>788</v>
      </c>
      <c r="E21" t="s">
        <v>681</v>
      </c>
      <c r="F21" t="s">
        <v>381</v>
      </c>
    </row>
    <row r="22" spans="1:6" x14ac:dyDescent="0.2">
      <c r="A22" t="s">
        <v>209</v>
      </c>
      <c r="C22" t="s">
        <v>628</v>
      </c>
      <c r="E22" t="s">
        <v>773</v>
      </c>
      <c r="F22" t="s">
        <v>559</v>
      </c>
    </row>
    <row r="23" spans="1:6" x14ac:dyDescent="0.2">
      <c r="A23" t="s">
        <v>714</v>
      </c>
      <c r="C23" t="s">
        <v>572</v>
      </c>
      <c r="E23" t="s">
        <v>775</v>
      </c>
      <c r="F23" t="s">
        <v>814</v>
      </c>
    </row>
    <row r="24" spans="1:6" x14ac:dyDescent="0.2">
      <c r="A24" t="s">
        <v>694</v>
      </c>
      <c r="C24" t="s">
        <v>721</v>
      </c>
      <c r="E24" t="s">
        <v>913</v>
      </c>
      <c r="F24" t="s">
        <v>558</v>
      </c>
    </row>
    <row r="25" spans="1:6" x14ac:dyDescent="0.2">
      <c r="A25" t="s">
        <v>933</v>
      </c>
      <c r="C25" t="s">
        <v>921</v>
      </c>
    </row>
    <row r="26" spans="1:6" x14ac:dyDescent="0.2">
      <c r="A26" t="s">
        <v>542</v>
      </c>
      <c r="C26" t="s">
        <v>343</v>
      </c>
      <c r="E26" t="s">
        <v>914</v>
      </c>
      <c r="F26" t="s">
        <v>575</v>
      </c>
    </row>
    <row r="27" spans="1:6" x14ac:dyDescent="0.2">
      <c r="A27" t="s">
        <v>833</v>
      </c>
      <c r="C27" t="s">
        <v>344</v>
      </c>
      <c r="E27" t="s">
        <v>662</v>
      </c>
      <c r="F27" t="s">
        <v>515</v>
      </c>
    </row>
    <row r="28" spans="1:6" x14ac:dyDescent="0.2">
      <c r="A28" t="s">
        <v>338</v>
      </c>
      <c r="C28" t="s">
        <v>598</v>
      </c>
      <c r="E28" t="s">
        <v>915</v>
      </c>
      <c r="F28" t="s">
        <v>705</v>
      </c>
    </row>
    <row r="29" spans="1:6" x14ac:dyDescent="0.2">
      <c r="A29" t="s">
        <v>851</v>
      </c>
      <c r="C29" t="s">
        <v>379</v>
      </c>
      <c r="E29" t="s">
        <v>916</v>
      </c>
      <c r="F29" t="s">
        <v>790</v>
      </c>
    </row>
    <row r="30" spans="1:6" x14ac:dyDescent="0.2">
      <c r="A30" t="s">
        <v>304</v>
      </c>
      <c r="C30" t="s">
        <v>825</v>
      </c>
      <c r="E30" t="s">
        <v>941</v>
      </c>
      <c r="F30" t="s">
        <v>486</v>
      </c>
    </row>
    <row r="31" spans="1:6" x14ac:dyDescent="0.2">
      <c r="A31" t="s">
        <v>656</v>
      </c>
      <c r="C31" t="s">
        <v>478</v>
      </c>
      <c r="E31" t="s">
        <v>952</v>
      </c>
      <c r="F31" t="s">
        <v>574</v>
      </c>
    </row>
    <row r="32" spans="1:6" x14ac:dyDescent="0.2">
      <c r="A32" t="s">
        <v>778</v>
      </c>
      <c r="C32" t="s">
        <v>807</v>
      </c>
      <c r="E32" t="s">
        <v>953</v>
      </c>
      <c r="F32" t="s">
        <v>361</v>
      </c>
    </row>
    <row r="33" spans="1:6" x14ac:dyDescent="0.2">
      <c r="A33" t="s">
        <v>660</v>
      </c>
      <c r="C33" t="s">
        <v>396</v>
      </c>
      <c r="E33" t="s">
        <v>954</v>
      </c>
      <c r="F33" t="s">
        <v>750</v>
      </c>
    </row>
    <row r="34" spans="1:6" x14ac:dyDescent="0.2">
      <c r="A34" t="s">
        <v>332</v>
      </c>
      <c r="C34" t="s">
        <v>530</v>
      </c>
      <c r="E34" t="s">
        <v>967</v>
      </c>
      <c r="F34" t="s">
        <v>353</v>
      </c>
    </row>
    <row r="35" spans="1:6" x14ac:dyDescent="0.2">
      <c r="A35" t="s">
        <v>955</v>
      </c>
      <c r="C35" t="s">
        <v>927</v>
      </c>
    </row>
    <row r="36" spans="1:6" x14ac:dyDescent="0.2">
      <c r="A36" t="s">
        <v>699</v>
      </c>
      <c r="C36" t="s">
        <v>835</v>
      </c>
      <c r="E36" t="s">
        <v>968</v>
      </c>
      <c r="F36" t="s">
        <v>452</v>
      </c>
    </row>
    <row r="37" spans="1:6" x14ac:dyDescent="0.2">
      <c r="A37" t="s">
        <v>211</v>
      </c>
      <c r="C37" t="s">
        <v>710</v>
      </c>
      <c r="E37" t="s">
        <v>969</v>
      </c>
      <c r="F37" t="s">
        <v>452</v>
      </c>
    </row>
    <row r="38" spans="1:6" x14ac:dyDescent="0.2">
      <c r="A38" t="s">
        <v>340</v>
      </c>
      <c r="C38" t="s">
        <v>218</v>
      </c>
      <c r="E38" t="s">
        <v>970</v>
      </c>
      <c r="F38" t="s">
        <v>819</v>
      </c>
    </row>
    <row r="39" spans="1:6" x14ac:dyDescent="0.2">
      <c r="A39" t="s">
        <v>928</v>
      </c>
      <c r="C39" t="s">
        <v>908</v>
      </c>
    </row>
    <row r="40" spans="1:6" x14ac:dyDescent="0.2">
      <c r="A40" t="s">
        <v>246</v>
      </c>
      <c r="C40" t="s">
        <v>449</v>
      </c>
      <c r="E40" t="s">
        <v>971</v>
      </c>
      <c r="F40" t="s">
        <v>492</v>
      </c>
    </row>
    <row r="41" spans="1:6" x14ac:dyDescent="0.2">
      <c r="A41" t="s">
        <v>247</v>
      </c>
      <c r="C41" t="s">
        <v>630</v>
      </c>
      <c r="F41" t="s">
        <v>487</v>
      </c>
    </row>
    <row r="42" spans="1:6" x14ac:dyDescent="0.2">
      <c r="A42" t="s">
        <v>608</v>
      </c>
      <c r="C42" t="s">
        <v>737</v>
      </c>
      <c r="E42" t="s">
        <v>986</v>
      </c>
      <c r="F42" t="s">
        <v>382</v>
      </c>
    </row>
    <row r="43" spans="1:6" x14ac:dyDescent="0.2">
      <c r="A43" t="s">
        <v>734</v>
      </c>
      <c r="C43" t="s">
        <v>713</v>
      </c>
      <c r="E43" t="s">
        <v>987</v>
      </c>
      <c r="F43" t="s">
        <v>354</v>
      </c>
    </row>
    <row r="44" spans="1:6" x14ac:dyDescent="0.2">
      <c r="A44" t="s">
        <v>394</v>
      </c>
      <c r="C44" t="s">
        <v>635</v>
      </c>
      <c r="E44" t="s">
        <v>988</v>
      </c>
      <c r="F44" t="s">
        <v>725</v>
      </c>
    </row>
    <row r="45" spans="1:6" x14ac:dyDescent="0.2">
      <c r="A45" t="s">
        <v>502</v>
      </c>
      <c r="C45" t="s">
        <v>225</v>
      </c>
      <c r="E45" t="s">
        <v>989</v>
      </c>
      <c r="F45" t="s">
        <v>459</v>
      </c>
    </row>
    <row r="46" spans="1:6" x14ac:dyDescent="0.2">
      <c r="A46" t="s">
        <v>633</v>
      </c>
      <c r="C46" t="s">
        <v>224</v>
      </c>
      <c r="E46" t="s">
        <v>990</v>
      </c>
      <c r="F46" t="s">
        <v>355</v>
      </c>
    </row>
    <row r="47" spans="1:6" x14ac:dyDescent="0.2">
      <c r="A47" t="s">
        <v>414</v>
      </c>
      <c r="C47" t="s">
        <v>226</v>
      </c>
      <c r="F47" t="s">
        <v>484</v>
      </c>
    </row>
    <row r="48" spans="1:6" x14ac:dyDescent="0.2">
      <c r="A48" t="s">
        <v>306</v>
      </c>
      <c r="C48" t="s">
        <v>480</v>
      </c>
      <c r="E48" t="s">
        <v>991</v>
      </c>
      <c r="F48" t="s">
        <v>590</v>
      </c>
    </row>
    <row r="49" spans="1:6" x14ac:dyDescent="0.2">
      <c r="A49" t="s">
        <v>305</v>
      </c>
      <c r="C49" t="s">
        <v>857</v>
      </c>
      <c r="E49" t="s">
        <v>992</v>
      </c>
      <c r="F49" t="s">
        <v>482</v>
      </c>
    </row>
    <row r="50" spans="1:6" x14ac:dyDescent="0.2">
      <c r="A50" t="s">
        <v>592</v>
      </c>
      <c r="C50" t="s">
        <v>871</v>
      </c>
      <c r="E50" t="s">
        <v>993</v>
      </c>
      <c r="F50" t="s">
        <v>518</v>
      </c>
    </row>
    <row r="51" spans="1:6" x14ac:dyDescent="0.2">
      <c r="A51" t="s">
        <v>243</v>
      </c>
      <c r="C51" t="s">
        <v>541</v>
      </c>
      <c r="E51" t="s">
        <v>994</v>
      </c>
      <c r="F51" t="s">
        <v>489</v>
      </c>
    </row>
    <row r="52" spans="1:6" x14ac:dyDescent="0.2">
      <c r="A52" t="s">
        <v>244</v>
      </c>
      <c r="C52" t="s">
        <v>533</v>
      </c>
      <c r="E52" t="s">
        <v>995</v>
      </c>
      <c r="F52" t="s">
        <v>556</v>
      </c>
    </row>
    <row r="53" spans="1:6" x14ac:dyDescent="0.2">
      <c r="A53" t="s">
        <v>241</v>
      </c>
      <c r="C53" t="s">
        <v>565</v>
      </c>
      <c r="E53" t="s">
        <v>996</v>
      </c>
      <c r="F53" t="s">
        <v>519</v>
      </c>
    </row>
    <row r="54" spans="1:6" x14ac:dyDescent="0.2">
      <c r="A54" t="s">
        <v>245</v>
      </c>
      <c r="C54" t="s">
        <v>564</v>
      </c>
      <c r="E54" t="s">
        <v>997</v>
      </c>
      <c r="F54" t="s">
        <v>455</v>
      </c>
    </row>
    <row r="55" spans="1:6" x14ac:dyDescent="0.2">
      <c r="A55" t="s">
        <v>245</v>
      </c>
      <c r="C55" t="s">
        <v>228</v>
      </c>
      <c r="E55" t="s">
        <v>998</v>
      </c>
      <c r="F55" t="s">
        <v>815</v>
      </c>
    </row>
    <row r="56" spans="1:6" x14ac:dyDescent="0.2">
      <c r="A56" t="s">
        <v>242</v>
      </c>
      <c r="C56" t="s">
        <v>859</v>
      </c>
      <c r="E56" t="s">
        <v>999</v>
      </c>
      <c r="F56" t="s">
        <v>848</v>
      </c>
    </row>
    <row r="57" spans="1:6" x14ac:dyDescent="0.2">
      <c r="A57" t="s">
        <v>469</v>
      </c>
      <c r="C57" t="s">
        <v>227</v>
      </c>
      <c r="E57" t="s">
        <v>1000</v>
      </c>
      <c r="F57" t="s">
        <v>490</v>
      </c>
    </row>
    <row r="58" spans="1:6" x14ac:dyDescent="0.2">
      <c r="A58" t="s">
        <v>576</v>
      </c>
      <c r="C58" t="s">
        <v>794</v>
      </c>
      <c r="E58" t="s">
        <v>490</v>
      </c>
      <c r="F58" t="s">
        <v>706</v>
      </c>
    </row>
    <row r="59" spans="1:6" x14ac:dyDescent="0.2">
      <c r="A59" t="s">
        <v>822</v>
      </c>
      <c r="C59" t="s">
        <v>248</v>
      </c>
      <c r="E59" t="s">
        <v>1001</v>
      </c>
      <c r="F59" t="s">
        <v>841</v>
      </c>
    </row>
    <row r="60" spans="1:6" x14ac:dyDescent="0.2">
      <c r="A60" t="s">
        <v>471</v>
      </c>
      <c r="C60" t="s">
        <v>767</v>
      </c>
      <c r="E60" t="s">
        <v>1002</v>
      </c>
      <c r="F60" t="s">
        <v>423</v>
      </c>
    </row>
    <row r="61" spans="1:6" x14ac:dyDescent="0.2">
      <c r="A61" t="s">
        <v>540</v>
      </c>
      <c r="C61" t="s">
        <v>646</v>
      </c>
      <c r="E61" t="s">
        <v>1003</v>
      </c>
      <c r="F61" t="s">
        <v>637</v>
      </c>
    </row>
    <row r="62" spans="1:6" x14ac:dyDescent="0.2">
      <c r="A62" t="s">
        <v>539</v>
      </c>
      <c r="C62" t="s">
        <v>548</v>
      </c>
      <c r="E62" t="s">
        <v>1004</v>
      </c>
      <c r="F62" t="s">
        <v>383</v>
      </c>
    </row>
    <row r="63" spans="1:6" x14ac:dyDescent="0.2">
      <c r="A63" t="s">
        <v>956</v>
      </c>
      <c r="C63" t="s">
        <v>931</v>
      </c>
      <c r="E63" t="s">
        <v>433</v>
      </c>
    </row>
    <row r="64" spans="1:6" x14ac:dyDescent="0.2">
      <c r="A64" t="s">
        <v>573</v>
      </c>
      <c r="C64" t="s">
        <v>612</v>
      </c>
      <c r="E64" t="s">
        <v>1005</v>
      </c>
      <c r="F64" t="s">
        <v>356</v>
      </c>
    </row>
    <row r="65" spans="1:6" x14ac:dyDescent="0.2">
      <c r="A65" t="s">
        <v>708</v>
      </c>
      <c r="C65" t="s">
        <v>566</v>
      </c>
      <c r="E65" t="s">
        <v>1006</v>
      </c>
      <c r="F65" t="s">
        <v>454</v>
      </c>
    </row>
    <row r="66" spans="1:6" x14ac:dyDescent="0.2">
      <c r="A66" t="s">
        <v>427</v>
      </c>
      <c r="C66" t="s">
        <v>586</v>
      </c>
      <c r="E66" t="s">
        <v>1007</v>
      </c>
      <c r="F66" t="s">
        <v>691</v>
      </c>
    </row>
    <row r="67" spans="1:6" x14ac:dyDescent="0.2">
      <c r="A67" t="s">
        <v>752</v>
      </c>
      <c r="C67" t="s">
        <v>309</v>
      </c>
      <c r="E67" t="s">
        <v>1008</v>
      </c>
      <c r="F67" t="s">
        <v>456</v>
      </c>
    </row>
    <row r="68" spans="1:6" x14ac:dyDescent="0.2">
      <c r="A68" t="s">
        <v>709</v>
      </c>
      <c r="C68" t="s">
        <v>310</v>
      </c>
      <c r="E68" t="s">
        <v>1009</v>
      </c>
      <c r="F68" t="s">
        <v>456</v>
      </c>
    </row>
    <row r="69" spans="1:6" x14ac:dyDescent="0.2">
      <c r="A69" t="s">
        <v>862</v>
      </c>
      <c r="C69" t="s">
        <v>481</v>
      </c>
      <c r="F69" t="s">
        <v>557</v>
      </c>
    </row>
    <row r="70" spans="1:6" x14ac:dyDescent="0.2">
      <c r="A70" t="s">
        <v>838</v>
      </c>
      <c r="C70" t="s">
        <v>535</v>
      </c>
      <c r="E70" t="s">
        <v>1010</v>
      </c>
      <c r="F70" t="s">
        <v>457</v>
      </c>
    </row>
    <row r="71" spans="1:6" x14ac:dyDescent="0.2">
      <c r="A71" t="s">
        <v>251</v>
      </c>
      <c r="C71" t="s">
        <v>532</v>
      </c>
      <c r="E71" t="s">
        <v>1011</v>
      </c>
      <c r="F71" t="s">
        <v>742</v>
      </c>
    </row>
    <row r="72" spans="1:6" x14ac:dyDescent="0.2">
      <c r="A72" t="s">
        <v>252</v>
      </c>
      <c r="C72" t="s">
        <v>531</v>
      </c>
      <c r="E72" t="s">
        <v>1012</v>
      </c>
      <c r="F72" t="s">
        <v>537</v>
      </c>
    </row>
    <row r="73" spans="1:6" x14ac:dyDescent="0.2">
      <c r="A73" t="s">
        <v>250</v>
      </c>
      <c r="C73" t="s">
        <v>701</v>
      </c>
      <c r="E73" t="s">
        <v>1013</v>
      </c>
      <c r="F73" t="s">
        <v>405</v>
      </c>
    </row>
    <row r="74" spans="1:6" x14ac:dyDescent="0.2">
      <c r="A74" t="s">
        <v>890</v>
      </c>
      <c r="C74" t="s">
        <v>728</v>
      </c>
      <c r="E74" t="s">
        <v>1014</v>
      </c>
    </row>
    <row r="75" spans="1:6" x14ac:dyDescent="0.2">
      <c r="A75" t="s">
        <v>524</v>
      </c>
      <c r="C75" t="s">
        <v>858</v>
      </c>
      <c r="E75" t="s">
        <v>1015</v>
      </c>
      <c r="F75" t="s">
        <v>357</v>
      </c>
    </row>
    <row r="76" spans="1:6" x14ac:dyDescent="0.2">
      <c r="A76" t="s">
        <v>409</v>
      </c>
      <c r="C76" t="s">
        <v>249</v>
      </c>
      <c r="E76" t="s">
        <v>1016</v>
      </c>
      <c r="F76" t="s">
        <v>847</v>
      </c>
    </row>
    <row r="77" spans="1:6" x14ac:dyDescent="0.2">
      <c r="A77" t="s">
        <v>253</v>
      </c>
      <c r="C77" t="s">
        <v>860</v>
      </c>
      <c r="E77" t="s">
        <v>1017</v>
      </c>
      <c r="F77" t="s">
        <v>491</v>
      </c>
    </row>
    <row r="78" spans="1:6" x14ac:dyDescent="0.2">
      <c r="A78" t="s">
        <v>465</v>
      </c>
      <c r="C78" t="s">
        <v>689</v>
      </c>
      <c r="E78" t="s">
        <v>1018</v>
      </c>
      <c r="F78" t="s">
        <v>521</v>
      </c>
    </row>
    <row r="79" spans="1:6" x14ac:dyDescent="0.2">
      <c r="A79" t="s">
        <v>751</v>
      </c>
      <c r="C79" t="s">
        <v>669</v>
      </c>
      <c r="E79" t="s">
        <v>1019</v>
      </c>
      <c r="F79" t="s">
        <v>562</v>
      </c>
    </row>
    <row r="80" spans="1:6" x14ac:dyDescent="0.2">
      <c r="A80" t="s">
        <v>546</v>
      </c>
      <c r="C80" t="s">
        <v>549</v>
      </c>
      <c r="F80" t="s">
        <v>692</v>
      </c>
    </row>
    <row r="81" spans="1:6" x14ac:dyDescent="0.2">
      <c r="A81" t="s">
        <v>367</v>
      </c>
      <c r="C81" t="s">
        <v>527</v>
      </c>
      <c r="F81" t="s">
        <v>563</v>
      </c>
    </row>
    <row r="82" spans="1:6" x14ac:dyDescent="0.2">
      <c r="A82" t="s">
        <v>655</v>
      </c>
      <c r="C82" t="s">
        <v>230</v>
      </c>
      <c r="F82" t="s">
        <v>743</v>
      </c>
    </row>
    <row r="83" spans="1:6" x14ac:dyDescent="0.2">
      <c r="A83" t="s">
        <v>624</v>
      </c>
      <c r="C83" t="s">
        <v>231</v>
      </c>
      <c r="F83" t="s">
        <v>560</v>
      </c>
    </row>
    <row r="84" spans="1:6" x14ac:dyDescent="0.2">
      <c r="A84" t="s">
        <v>362</v>
      </c>
      <c r="C84" t="s">
        <v>229</v>
      </c>
      <c r="F84" t="s">
        <v>403</v>
      </c>
    </row>
    <row r="85" spans="1:6" x14ac:dyDescent="0.2">
      <c r="A85" t="s">
        <v>957</v>
      </c>
      <c r="C85" t="s">
        <v>587</v>
      </c>
    </row>
    <row r="86" spans="1:6" x14ac:dyDescent="0.2">
      <c r="A86" t="s">
        <v>255</v>
      </c>
      <c r="C86" t="s">
        <v>567</v>
      </c>
      <c r="F86" t="s">
        <v>820</v>
      </c>
    </row>
    <row r="87" spans="1:6" x14ac:dyDescent="0.2">
      <c r="A87" t="s">
        <v>254</v>
      </c>
      <c r="C87" t="s">
        <v>220</v>
      </c>
      <c r="F87" t="s">
        <v>671</v>
      </c>
    </row>
    <row r="88" spans="1:6" x14ac:dyDescent="0.2">
      <c r="A88" t="s">
        <v>853</v>
      </c>
      <c r="C88" t="s">
        <v>550</v>
      </c>
      <c r="F88" t="s">
        <v>645</v>
      </c>
    </row>
    <row r="89" spans="1:6" x14ac:dyDescent="0.2">
      <c r="A89" t="s">
        <v>654</v>
      </c>
      <c r="C89" t="s">
        <v>256</v>
      </c>
      <c r="F89" t="s">
        <v>561</v>
      </c>
    </row>
    <row r="90" spans="1:6" x14ac:dyDescent="0.2">
      <c r="A90" t="s">
        <v>582</v>
      </c>
      <c r="C90" t="s">
        <v>232</v>
      </c>
      <c r="F90" t="s">
        <v>516</v>
      </c>
    </row>
    <row r="91" spans="1:6" x14ac:dyDescent="0.2">
      <c r="A91" t="s">
        <v>736</v>
      </c>
      <c r="C91" t="s">
        <v>374</v>
      </c>
      <c r="F91" t="s">
        <v>707</v>
      </c>
    </row>
    <row r="92" spans="1:6" x14ac:dyDescent="0.2">
      <c r="A92" t="s">
        <v>726</v>
      </c>
      <c r="C92" t="s">
        <v>375</v>
      </c>
      <c r="F92" t="s">
        <v>380</v>
      </c>
    </row>
    <row r="93" spans="1:6" x14ac:dyDescent="0.2">
      <c r="A93" t="s">
        <v>616</v>
      </c>
      <c r="C93" t="s">
        <v>215</v>
      </c>
      <c r="F93" t="s">
        <v>380</v>
      </c>
    </row>
    <row r="94" spans="1:6" x14ac:dyDescent="0.2">
      <c r="A94" t="s">
        <v>333</v>
      </c>
      <c r="C94" t="s">
        <v>787</v>
      </c>
      <c r="F94" t="s">
        <v>404</v>
      </c>
    </row>
    <row r="95" spans="1:6" x14ac:dyDescent="0.2">
      <c r="A95" t="s">
        <v>888</v>
      </c>
      <c r="C95" t="s">
        <v>797</v>
      </c>
    </row>
    <row r="96" spans="1:6" x14ac:dyDescent="0.2">
      <c r="A96" t="s">
        <v>854</v>
      </c>
      <c r="C96" t="s">
        <v>729</v>
      </c>
      <c r="F96" t="s">
        <v>419</v>
      </c>
    </row>
    <row r="97" spans="1:6" x14ac:dyDescent="0.2">
      <c r="A97" t="s">
        <v>578</v>
      </c>
      <c r="C97" t="s">
        <v>601</v>
      </c>
      <c r="F97" t="s">
        <v>672</v>
      </c>
    </row>
    <row r="98" spans="1:6" x14ac:dyDescent="0.2">
      <c r="A98" t="s">
        <v>413</v>
      </c>
      <c r="C98" t="s">
        <v>509</v>
      </c>
      <c r="F98" t="s">
        <v>517</v>
      </c>
    </row>
    <row r="99" spans="1:6" x14ac:dyDescent="0.2">
      <c r="A99" t="s">
        <v>918</v>
      </c>
      <c r="C99" t="s">
        <v>902</v>
      </c>
    </row>
    <row r="100" spans="1:6" x14ac:dyDescent="0.2">
      <c r="A100" t="s">
        <v>917</v>
      </c>
      <c r="C100" t="s">
        <v>901</v>
      </c>
    </row>
    <row r="101" spans="1:6" x14ac:dyDescent="0.2">
      <c r="A101" t="s">
        <v>336</v>
      </c>
      <c r="C101" t="s">
        <v>235</v>
      </c>
      <c r="F101" t="s">
        <v>485</v>
      </c>
    </row>
    <row r="102" spans="1:6" x14ac:dyDescent="0.2">
      <c r="A102" t="s">
        <v>584</v>
      </c>
      <c r="C102" t="s">
        <v>397</v>
      </c>
      <c r="F102" t="s">
        <v>631</v>
      </c>
    </row>
    <row r="103" spans="1:6" x14ac:dyDescent="0.2">
      <c r="A103" t="s">
        <v>467</v>
      </c>
      <c r="C103" t="s">
        <v>668</v>
      </c>
      <c r="F103" t="s">
        <v>827</v>
      </c>
    </row>
    <row r="104" spans="1:6" x14ac:dyDescent="0.2">
      <c r="A104" t="s">
        <v>389</v>
      </c>
      <c r="C104" t="s">
        <v>856</v>
      </c>
      <c r="F104" t="s">
        <v>384</v>
      </c>
    </row>
    <row r="105" spans="1:6" x14ac:dyDescent="0.2">
      <c r="A105" t="s">
        <v>944</v>
      </c>
      <c r="C105" t="s">
        <v>923</v>
      </c>
    </row>
    <row r="106" spans="1:6" x14ac:dyDescent="0.2">
      <c r="A106" t="s">
        <v>779</v>
      </c>
      <c r="C106" t="s">
        <v>214</v>
      </c>
      <c r="F106" t="s">
        <v>488</v>
      </c>
    </row>
    <row r="107" spans="1:6" x14ac:dyDescent="0.2">
      <c r="A107" t="s">
        <v>732</v>
      </c>
      <c r="C107" t="s">
        <v>588</v>
      </c>
      <c r="F107" t="s">
        <v>816</v>
      </c>
    </row>
    <row r="108" spans="1:6" x14ac:dyDescent="0.2">
      <c r="A108" t="s">
        <v>495</v>
      </c>
      <c r="C108" t="s">
        <v>474</v>
      </c>
      <c r="F108" t="s">
        <v>385</v>
      </c>
    </row>
    <row r="109" spans="1:6" x14ac:dyDescent="0.2">
      <c r="A109" t="s">
        <v>545</v>
      </c>
      <c r="C109" t="s">
        <v>443</v>
      </c>
      <c r="F109" t="s">
        <v>522</v>
      </c>
    </row>
    <row r="110" spans="1:6" x14ac:dyDescent="0.2">
      <c r="A110" t="s">
        <v>746</v>
      </c>
      <c r="C110" t="s">
        <v>443</v>
      </c>
      <c r="F110" t="s">
        <v>555</v>
      </c>
    </row>
    <row r="111" spans="1:6" x14ac:dyDescent="0.2">
      <c r="A111" t="s">
        <v>781</v>
      </c>
      <c r="C111" t="s">
        <v>620</v>
      </c>
      <c r="F111" t="s">
        <v>407</v>
      </c>
    </row>
    <row r="112" spans="1:6" x14ac:dyDescent="0.2">
      <c r="A112" t="s">
        <v>782</v>
      </c>
      <c r="C112" t="s">
        <v>447</v>
      </c>
      <c r="F112" t="s">
        <v>836</v>
      </c>
    </row>
    <row r="113" spans="1:6" x14ac:dyDescent="0.2">
      <c r="A113" t="s">
        <v>424</v>
      </c>
      <c r="C113" t="s">
        <v>703</v>
      </c>
      <c r="F113" t="s">
        <v>818</v>
      </c>
    </row>
    <row r="114" spans="1:6" x14ac:dyDescent="0.2">
      <c r="A114" t="s">
        <v>364</v>
      </c>
      <c r="C114" t="s">
        <v>238</v>
      </c>
      <c r="F114" t="s">
        <v>386</v>
      </c>
    </row>
    <row r="115" spans="1:6" x14ac:dyDescent="0.2">
      <c r="A115" t="s">
        <v>796</v>
      </c>
      <c r="C115" t="s">
        <v>237</v>
      </c>
      <c r="F115" t="s">
        <v>421</v>
      </c>
    </row>
    <row r="116" spans="1:6" x14ac:dyDescent="0.2">
      <c r="A116" t="s">
        <v>391</v>
      </c>
      <c r="C116" t="s">
        <v>667</v>
      </c>
      <c r="F116" t="s">
        <v>422</v>
      </c>
    </row>
    <row r="117" spans="1:6" x14ac:dyDescent="0.2">
      <c r="A117" t="s">
        <v>285</v>
      </c>
      <c r="C117" t="s">
        <v>809</v>
      </c>
      <c r="F117" t="s">
        <v>406</v>
      </c>
    </row>
    <row r="118" spans="1:6" x14ac:dyDescent="0.2">
      <c r="A118" t="s">
        <v>283</v>
      </c>
      <c r="C118" t="s">
        <v>738</v>
      </c>
      <c r="F118" t="s">
        <v>520</v>
      </c>
    </row>
    <row r="119" spans="1:6" x14ac:dyDescent="0.2">
      <c r="A119" t="s">
        <v>440</v>
      </c>
      <c r="C119" t="s">
        <v>504</v>
      </c>
      <c r="F119" t="s">
        <v>513</v>
      </c>
    </row>
    <row r="120" spans="1:6" x14ac:dyDescent="0.2">
      <c r="A120" t="s">
        <v>439</v>
      </c>
      <c r="C120" t="s">
        <v>300</v>
      </c>
      <c r="F120" t="s">
        <v>483</v>
      </c>
    </row>
    <row r="121" spans="1:6" x14ac:dyDescent="0.2">
      <c r="A121" t="s">
        <v>895</v>
      </c>
      <c r="C121" t="s">
        <v>879</v>
      </c>
    </row>
    <row r="122" spans="1:6" x14ac:dyDescent="0.2">
      <c r="A122" t="s">
        <v>462</v>
      </c>
      <c r="C122" t="s">
        <v>299</v>
      </c>
      <c r="F122" t="s">
        <v>458</v>
      </c>
    </row>
    <row r="123" spans="1:6" x14ac:dyDescent="0.2">
      <c r="A123" t="s">
        <v>909</v>
      </c>
      <c r="C123" t="s">
        <v>899</v>
      </c>
    </row>
    <row r="124" spans="1:6" x14ac:dyDescent="0.2">
      <c r="A124" t="s">
        <v>684</v>
      </c>
      <c r="C124" t="s">
        <v>239</v>
      </c>
      <c r="F124" t="s">
        <v>420</v>
      </c>
    </row>
    <row r="125" spans="1:6" x14ac:dyDescent="0.2">
      <c r="A125" t="s">
        <v>341</v>
      </c>
      <c r="C125" t="s">
        <v>395</v>
      </c>
      <c r="F125" t="s">
        <v>358</v>
      </c>
    </row>
    <row r="126" spans="1:6" x14ac:dyDescent="0.2">
      <c r="A126" t="s">
        <v>783</v>
      </c>
      <c r="C126" t="s">
        <v>347</v>
      </c>
      <c r="F126" t="s">
        <v>741</v>
      </c>
    </row>
    <row r="127" spans="1:6" x14ac:dyDescent="0.2">
      <c r="A127" t="s">
        <v>335</v>
      </c>
      <c r="C127" t="s">
        <v>417</v>
      </c>
      <c r="F127" t="s">
        <v>359</v>
      </c>
    </row>
    <row r="128" spans="1:6" x14ac:dyDescent="0.2">
      <c r="A128" t="s">
        <v>284</v>
      </c>
      <c r="C128" t="s">
        <v>418</v>
      </c>
      <c r="F128" t="s">
        <v>898</v>
      </c>
    </row>
    <row r="129" spans="1:6" x14ac:dyDescent="0.2">
      <c r="A129" t="s">
        <v>919</v>
      </c>
      <c r="C129" t="s">
        <v>903</v>
      </c>
    </row>
    <row r="130" spans="1:6" x14ac:dyDescent="0.2">
      <c r="A130" t="s">
        <v>659</v>
      </c>
      <c r="C130" t="s">
        <v>722</v>
      </c>
      <c r="F130" t="s">
        <v>938</v>
      </c>
    </row>
    <row r="131" spans="1:6" x14ac:dyDescent="0.2">
      <c r="A131" t="s">
        <v>408</v>
      </c>
      <c r="C131" t="s">
        <v>349</v>
      </c>
      <c r="F131" t="s">
        <v>939</v>
      </c>
    </row>
    <row r="132" spans="1:6" x14ac:dyDescent="0.2">
      <c r="A132" t="s">
        <v>883</v>
      </c>
      <c r="C132" t="s">
        <v>240</v>
      </c>
      <c r="F132" t="s">
        <v>940</v>
      </c>
    </row>
    <row r="133" spans="1:6" x14ac:dyDescent="0.2">
      <c r="A133" t="s">
        <v>544</v>
      </c>
      <c r="C133" t="s">
        <v>554</v>
      </c>
      <c r="F133" t="s">
        <v>941</v>
      </c>
    </row>
    <row r="134" spans="1:6" x14ac:dyDescent="0.2">
      <c r="A134" t="s">
        <v>464</v>
      </c>
      <c r="C134" t="s">
        <v>603</v>
      </c>
      <c r="F134" t="s">
        <v>942</v>
      </c>
    </row>
    <row r="135" spans="1:6" x14ac:dyDescent="0.2">
      <c r="A135" t="s">
        <v>875</v>
      </c>
      <c r="C135" t="s">
        <v>604</v>
      </c>
      <c r="F135" t="s">
        <v>943</v>
      </c>
    </row>
    <row r="136" spans="1:6" x14ac:dyDescent="0.2">
      <c r="A136" t="s">
        <v>865</v>
      </c>
      <c r="C136" t="s">
        <v>650</v>
      </c>
    </row>
    <row r="137" spans="1:6" x14ac:dyDescent="0.2">
      <c r="A137" t="s">
        <v>307</v>
      </c>
      <c r="C137" t="s">
        <v>649</v>
      </c>
    </row>
    <row r="138" spans="1:6" x14ac:dyDescent="0.2">
      <c r="A138" t="s">
        <v>308</v>
      </c>
      <c r="C138" t="s">
        <v>647</v>
      </c>
    </row>
    <row r="139" spans="1:6" x14ac:dyDescent="0.2">
      <c r="A139" t="s">
        <v>754</v>
      </c>
      <c r="C139" t="s">
        <v>648</v>
      </c>
    </row>
    <row r="140" spans="1:6" x14ac:dyDescent="0.2">
      <c r="A140" t="s">
        <v>877</v>
      </c>
      <c r="C140" t="s">
        <v>259</v>
      </c>
    </row>
    <row r="141" spans="1:6" x14ac:dyDescent="0.2">
      <c r="A141" t="s">
        <v>301</v>
      </c>
      <c r="C141" t="s">
        <v>257</v>
      </c>
    </row>
    <row r="142" spans="1:6" x14ac:dyDescent="0.2">
      <c r="A142" t="s">
        <v>303</v>
      </c>
      <c r="C142" t="s">
        <v>258</v>
      </c>
    </row>
    <row r="143" spans="1:6" x14ac:dyDescent="0.2">
      <c r="A143" t="s">
        <v>264</v>
      </c>
      <c r="C143" t="s">
        <v>473</v>
      </c>
    </row>
    <row r="144" spans="1:6" x14ac:dyDescent="0.2">
      <c r="A144" t="s">
        <v>265</v>
      </c>
      <c r="C144" t="s">
        <v>475</v>
      </c>
    </row>
    <row r="145" spans="1:3" x14ac:dyDescent="0.2">
      <c r="A145" t="s">
        <v>318</v>
      </c>
      <c r="C145" t="s">
        <v>317</v>
      </c>
    </row>
    <row r="146" spans="1:3" x14ac:dyDescent="0.2">
      <c r="A146" t="s">
        <v>316</v>
      </c>
      <c r="C146" t="s">
        <v>570</v>
      </c>
    </row>
    <row r="147" spans="1:3" x14ac:dyDescent="0.2">
      <c r="A147" t="s">
        <v>470</v>
      </c>
      <c r="C147" t="s">
        <v>568</v>
      </c>
    </row>
    <row r="148" spans="1:3" x14ac:dyDescent="0.2">
      <c r="A148" t="s">
        <v>497</v>
      </c>
      <c r="C148" t="s">
        <v>569</v>
      </c>
    </row>
    <row r="149" spans="1:3" x14ac:dyDescent="0.2">
      <c r="A149" t="s">
        <v>947</v>
      </c>
      <c r="C149" t="s">
        <v>926</v>
      </c>
    </row>
    <row r="150" spans="1:3" x14ac:dyDescent="0.2">
      <c r="A150" t="s">
        <v>387</v>
      </c>
      <c r="C150" t="s">
        <v>614</v>
      </c>
    </row>
    <row r="151" spans="1:3" x14ac:dyDescent="0.2">
      <c r="A151" t="s">
        <v>577</v>
      </c>
      <c r="C151" t="s">
        <v>373</v>
      </c>
    </row>
    <row r="152" spans="1:3" x14ac:dyDescent="0.2">
      <c r="A152" t="s">
        <v>260</v>
      </c>
      <c r="C152" t="s">
        <v>399</v>
      </c>
    </row>
    <row r="153" spans="1:3" x14ac:dyDescent="0.2">
      <c r="A153" t="s">
        <v>261</v>
      </c>
      <c r="C153" t="s">
        <v>529</v>
      </c>
    </row>
    <row r="154" spans="1:3" x14ac:dyDescent="0.2">
      <c r="A154" t="s">
        <v>615</v>
      </c>
      <c r="C154" t="s">
        <v>271</v>
      </c>
    </row>
    <row r="155" spans="1:3" x14ac:dyDescent="0.2">
      <c r="A155" t="s">
        <v>262</v>
      </c>
      <c r="C155" t="s">
        <v>451</v>
      </c>
    </row>
    <row r="156" spans="1:3" x14ac:dyDescent="0.2">
      <c r="A156" t="s">
        <v>263</v>
      </c>
      <c r="C156" t="s">
        <v>869</v>
      </c>
    </row>
    <row r="157" spans="1:3" x14ac:dyDescent="0.2">
      <c r="A157" t="s">
        <v>886</v>
      </c>
      <c r="C157" t="s">
        <v>442</v>
      </c>
    </row>
    <row r="158" spans="1:3" x14ac:dyDescent="0.2">
      <c r="A158" t="s">
        <v>315</v>
      </c>
      <c r="C158" t="s">
        <v>270</v>
      </c>
    </row>
    <row r="159" spans="1:3" x14ac:dyDescent="0.2">
      <c r="A159" t="s">
        <v>887</v>
      </c>
      <c r="C159" t="s">
        <v>798</v>
      </c>
    </row>
    <row r="160" spans="1:3" x14ac:dyDescent="0.2">
      <c r="A160" t="s">
        <v>366</v>
      </c>
      <c r="C160" t="s">
        <v>852</v>
      </c>
    </row>
    <row r="161" spans="1:3" x14ac:dyDescent="0.2">
      <c r="A161" t="s">
        <v>494</v>
      </c>
      <c r="C161" t="s">
        <v>810</v>
      </c>
    </row>
    <row r="162" spans="1:3" x14ac:dyDescent="0.2">
      <c r="A162" t="s">
        <v>429</v>
      </c>
      <c r="C162" t="s">
        <v>311</v>
      </c>
    </row>
    <row r="163" spans="1:3" x14ac:dyDescent="0.2">
      <c r="A163" t="s">
        <v>368</v>
      </c>
      <c r="C163" t="s">
        <v>747</v>
      </c>
    </row>
    <row r="164" spans="1:3" x14ac:dyDescent="0.2">
      <c r="A164" t="s">
        <v>686</v>
      </c>
      <c r="C164" t="s">
        <v>507</v>
      </c>
    </row>
    <row r="165" spans="1:3" x14ac:dyDescent="0.2">
      <c r="A165" t="s">
        <v>388</v>
      </c>
      <c r="C165" t="s">
        <v>618</v>
      </c>
    </row>
    <row r="166" spans="1:3" x14ac:dyDescent="0.2">
      <c r="A166" t="s">
        <v>370</v>
      </c>
      <c r="C166" t="s">
        <v>348</v>
      </c>
    </row>
    <row r="167" spans="1:3" x14ac:dyDescent="0.2">
      <c r="A167" t="s">
        <v>369</v>
      </c>
      <c r="C167" t="s">
        <v>587</v>
      </c>
    </row>
    <row r="168" spans="1:3" x14ac:dyDescent="0.2">
      <c r="A168" t="s">
        <v>634</v>
      </c>
      <c r="C168" t="s">
        <v>587</v>
      </c>
    </row>
    <row r="169" spans="1:3" x14ac:dyDescent="0.2">
      <c r="A169" t="s">
        <v>695</v>
      </c>
      <c r="C169" t="s">
        <v>642</v>
      </c>
    </row>
    <row r="170" spans="1:3" x14ac:dyDescent="0.2">
      <c r="A170" t="s">
        <v>445</v>
      </c>
      <c r="C170" t="s">
        <v>512</v>
      </c>
    </row>
    <row r="171" spans="1:3" x14ac:dyDescent="0.2">
      <c r="A171" t="s">
        <v>594</v>
      </c>
      <c r="C171" t="s">
        <v>600</v>
      </c>
    </row>
    <row r="172" spans="1:3" x14ac:dyDescent="0.2">
      <c r="A172" t="s">
        <v>882</v>
      </c>
      <c r="C172" t="s">
        <v>644</v>
      </c>
    </row>
    <row r="173" spans="1:3" x14ac:dyDescent="0.2">
      <c r="A173" t="s">
        <v>717</v>
      </c>
      <c r="C173" t="s">
        <v>505</v>
      </c>
    </row>
    <row r="174" spans="1:3" x14ac:dyDescent="0.2">
      <c r="A174" t="s">
        <v>874</v>
      </c>
      <c r="C174" t="s">
        <v>398</v>
      </c>
    </row>
    <row r="175" spans="1:3" x14ac:dyDescent="0.2">
      <c r="A175" t="s">
        <v>266</v>
      </c>
      <c r="C175" t="s">
        <v>665</v>
      </c>
    </row>
    <row r="176" spans="1:3" x14ac:dyDescent="0.2">
      <c r="A176" t="s">
        <v>266</v>
      </c>
      <c r="C176" t="s">
        <v>272</v>
      </c>
    </row>
    <row r="177" spans="1:3" x14ac:dyDescent="0.2">
      <c r="A177" t="s">
        <v>591</v>
      </c>
      <c r="C177" t="s">
        <v>273</v>
      </c>
    </row>
    <row r="178" spans="1:3" x14ac:dyDescent="0.2">
      <c r="A178" t="s">
        <v>390</v>
      </c>
      <c r="C178" t="s">
        <v>597</v>
      </c>
    </row>
    <row r="179" spans="1:3" x14ac:dyDescent="0.2">
      <c r="A179" t="s">
        <v>321</v>
      </c>
      <c r="C179" t="s">
        <v>402</v>
      </c>
    </row>
    <row r="180" spans="1:3" x14ac:dyDescent="0.2">
      <c r="A180" t="s">
        <v>267</v>
      </c>
      <c r="C180" t="s">
        <v>552</v>
      </c>
    </row>
    <row r="181" spans="1:3" x14ac:dyDescent="0.2">
      <c r="A181" t="s">
        <v>501</v>
      </c>
      <c r="C181" t="s">
        <v>551</v>
      </c>
    </row>
    <row r="182" spans="1:3" x14ac:dyDescent="0.2">
      <c r="A182" t="s">
        <v>617</v>
      </c>
      <c r="C182" t="s">
        <v>320</v>
      </c>
    </row>
    <row r="183" spans="1:3" x14ac:dyDescent="0.2">
      <c r="A183" t="s">
        <v>312</v>
      </c>
      <c r="C183" t="s">
        <v>748</v>
      </c>
    </row>
    <row r="184" spans="1:3" x14ac:dyDescent="0.2">
      <c r="A184" t="s">
        <v>269</v>
      </c>
      <c r="C184" t="s">
        <v>704</v>
      </c>
    </row>
    <row r="185" spans="1:3" x14ac:dyDescent="0.2">
      <c r="A185" t="s">
        <v>910</v>
      </c>
      <c r="C185" t="s">
        <v>900</v>
      </c>
    </row>
    <row r="186" spans="1:3" x14ac:dyDescent="0.2">
      <c r="A186" t="s">
        <v>313</v>
      </c>
      <c r="C186" t="s">
        <v>811</v>
      </c>
    </row>
    <row r="187" spans="1:3" x14ac:dyDescent="0.2">
      <c r="A187" t="s">
        <v>313</v>
      </c>
      <c r="C187" t="s">
        <v>789</v>
      </c>
    </row>
    <row r="188" spans="1:3" x14ac:dyDescent="0.2">
      <c r="A188" t="s">
        <v>611</v>
      </c>
      <c r="C188" t="s">
        <v>401</v>
      </c>
    </row>
    <row r="189" spans="1:3" x14ac:dyDescent="0.2">
      <c r="A189" t="s">
        <v>580</v>
      </c>
      <c r="C189" t="s">
        <v>768</v>
      </c>
    </row>
    <row r="190" spans="1:3" x14ac:dyDescent="0.2">
      <c r="A190" t="s">
        <v>268</v>
      </c>
      <c r="C190" t="s">
        <v>276</v>
      </c>
    </row>
    <row r="191" spans="1:3" x14ac:dyDescent="0.2">
      <c r="A191" t="s">
        <v>632</v>
      </c>
      <c r="C191" t="s">
        <v>621</v>
      </c>
    </row>
    <row r="192" spans="1:3" x14ac:dyDescent="0.2">
      <c r="A192" t="s">
        <v>685</v>
      </c>
      <c r="C192" t="s">
        <v>813</v>
      </c>
    </row>
    <row r="193" spans="1:3" x14ac:dyDescent="0.2">
      <c r="A193" t="s">
        <v>843</v>
      </c>
      <c r="C193" t="s">
        <v>553</v>
      </c>
    </row>
    <row r="194" spans="1:3" x14ac:dyDescent="0.2">
      <c r="A194" t="s">
        <v>872</v>
      </c>
      <c r="C194" t="s">
        <v>327</v>
      </c>
    </row>
    <row r="195" spans="1:3" x14ac:dyDescent="0.2">
      <c r="A195" t="s">
        <v>805</v>
      </c>
      <c r="C195" t="s">
        <v>688</v>
      </c>
    </row>
    <row r="196" spans="1:3" x14ac:dyDescent="0.2">
      <c r="A196" t="s">
        <v>626</v>
      </c>
      <c r="C196" t="s">
        <v>602</v>
      </c>
    </row>
    <row r="197" spans="1:3" x14ac:dyDescent="0.2">
      <c r="A197" t="s">
        <v>906</v>
      </c>
      <c r="C197" t="s">
        <v>894</v>
      </c>
    </row>
    <row r="198" spans="1:3" x14ac:dyDescent="0.2">
      <c r="A198" t="s">
        <v>864</v>
      </c>
      <c r="C198" t="s">
        <v>274</v>
      </c>
    </row>
    <row r="199" spans="1:3" x14ac:dyDescent="0.2">
      <c r="A199" t="s">
        <v>896</v>
      </c>
      <c r="C199" t="s">
        <v>234</v>
      </c>
    </row>
    <row r="200" spans="1:3" x14ac:dyDescent="0.2">
      <c r="A200" t="s">
        <v>208</v>
      </c>
      <c r="C200" t="s">
        <v>275</v>
      </c>
    </row>
    <row r="201" spans="1:3" x14ac:dyDescent="0.2">
      <c r="A201" t="s">
        <v>322</v>
      </c>
      <c r="C201" t="s">
        <v>802</v>
      </c>
    </row>
    <row r="202" spans="1:3" x14ac:dyDescent="0.2">
      <c r="A202" t="s">
        <v>323</v>
      </c>
      <c r="C202" t="s">
        <v>723</v>
      </c>
    </row>
    <row r="203" spans="1:3" x14ac:dyDescent="0.2">
      <c r="A203" t="s">
        <v>314</v>
      </c>
      <c r="C203" t="s">
        <v>503</v>
      </c>
    </row>
    <row r="204" spans="1:3" x14ac:dyDescent="0.2">
      <c r="A204" t="s">
        <v>280</v>
      </c>
      <c r="C204" t="s">
        <v>793</v>
      </c>
    </row>
    <row r="205" spans="1:3" x14ac:dyDescent="0.2">
      <c r="A205" t="s">
        <v>282</v>
      </c>
      <c r="C205" t="s">
        <v>328</v>
      </c>
    </row>
    <row r="206" spans="1:3" x14ac:dyDescent="0.2">
      <c r="A206" t="s">
        <v>281</v>
      </c>
      <c r="C206" t="s">
        <v>329</v>
      </c>
    </row>
    <row r="207" spans="1:3" x14ac:dyDescent="0.2">
      <c r="A207" t="s">
        <v>920</v>
      </c>
      <c r="C207" t="s">
        <v>907</v>
      </c>
    </row>
    <row r="208" spans="1:3" x14ac:dyDescent="0.2">
      <c r="A208" t="s">
        <v>461</v>
      </c>
      <c r="C208" t="s">
        <v>619</v>
      </c>
    </row>
    <row r="209" spans="1:3" x14ac:dyDescent="0.2">
      <c r="A209" t="s">
        <v>496</v>
      </c>
      <c r="C209" t="s">
        <v>279</v>
      </c>
    </row>
    <row r="210" spans="1:3" x14ac:dyDescent="0.2">
      <c r="A210" t="s">
        <v>324</v>
      </c>
      <c r="C210" t="s">
        <v>477</v>
      </c>
    </row>
    <row r="211" spans="1:3" x14ac:dyDescent="0.2">
      <c r="A211" t="s">
        <v>959</v>
      </c>
      <c r="C211" t="s">
        <v>935</v>
      </c>
    </row>
    <row r="212" spans="1:3" x14ac:dyDescent="0.2">
      <c r="A212" t="s">
        <v>693</v>
      </c>
      <c r="C212" t="s">
        <v>687</v>
      </c>
    </row>
    <row r="213" spans="1:3" x14ac:dyDescent="0.2">
      <c r="A213" t="s">
        <v>837</v>
      </c>
      <c r="C213" t="s">
        <v>711</v>
      </c>
    </row>
    <row r="214" spans="1:3" x14ac:dyDescent="0.2">
      <c r="A214" t="s">
        <v>876</v>
      </c>
      <c r="C214" t="s">
        <v>446</v>
      </c>
    </row>
    <row r="215" spans="1:3" x14ac:dyDescent="0.2">
      <c r="A215" t="s">
        <v>698</v>
      </c>
      <c r="C215" t="s">
        <v>808</v>
      </c>
    </row>
    <row r="216" spans="1:3" x14ac:dyDescent="0.2">
      <c r="A216" t="s">
        <v>640</v>
      </c>
      <c r="C216" t="s">
        <v>346</v>
      </c>
    </row>
    <row r="217" spans="1:3" x14ac:dyDescent="0.2">
      <c r="A217" t="s">
        <v>757</v>
      </c>
      <c r="C217" t="s">
        <v>450</v>
      </c>
    </row>
    <row r="218" spans="1:3" x14ac:dyDescent="0.2">
      <c r="A218" t="s">
        <v>758</v>
      </c>
      <c r="C218" t="s">
        <v>627</v>
      </c>
    </row>
    <row r="219" spans="1:3" x14ac:dyDescent="0.2">
      <c r="A219" t="s">
        <v>331</v>
      </c>
      <c r="C219" t="s">
        <v>416</v>
      </c>
    </row>
    <row r="220" spans="1:3" x14ac:dyDescent="0.2">
      <c r="A220" t="s">
        <v>759</v>
      </c>
      <c r="C220" t="s">
        <v>878</v>
      </c>
    </row>
    <row r="221" spans="1:3" x14ac:dyDescent="0.2">
      <c r="A221" t="s">
        <v>330</v>
      </c>
      <c r="C221" t="s">
        <v>286</v>
      </c>
    </row>
    <row r="222" spans="1:3" x14ac:dyDescent="0.2">
      <c r="A222" t="s">
        <v>653</v>
      </c>
      <c r="C222" t="s">
        <v>278</v>
      </c>
    </row>
    <row r="223" spans="1:3" x14ac:dyDescent="0.2">
      <c r="A223" t="s">
        <v>434</v>
      </c>
      <c r="C223" t="s">
        <v>277</v>
      </c>
    </row>
    <row r="224" spans="1:3" x14ac:dyDescent="0.2">
      <c r="A224" t="s">
        <v>432</v>
      </c>
      <c r="C224" t="s">
        <v>277</v>
      </c>
    </row>
    <row r="225" spans="1:3" x14ac:dyDescent="0.2">
      <c r="A225" t="s">
        <v>325</v>
      </c>
      <c r="C225" t="s">
        <v>834</v>
      </c>
    </row>
    <row r="226" spans="1:3" x14ac:dyDescent="0.2">
      <c r="A226" t="s">
        <v>945</v>
      </c>
      <c r="C226" t="s">
        <v>924</v>
      </c>
    </row>
    <row r="227" spans="1:3" x14ac:dyDescent="0.2">
      <c r="A227" t="s">
        <v>433</v>
      </c>
      <c r="C227" t="s">
        <v>740</v>
      </c>
    </row>
    <row r="228" spans="1:3" x14ac:dyDescent="0.2">
      <c r="A228" t="s">
        <v>543</v>
      </c>
      <c r="C228" t="s">
        <v>662</v>
      </c>
    </row>
    <row r="229" spans="1:3" x14ac:dyDescent="0.2">
      <c r="A229" t="s">
        <v>683</v>
      </c>
      <c r="C229" t="s">
        <v>636</v>
      </c>
    </row>
    <row r="230" spans="1:3" x14ac:dyDescent="0.2">
      <c r="A230" t="s">
        <v>884</v>
      </c>
      <c r="C230" t="s">
        <v>629</v>
      </c>
    </row>
    <row r="231" spans="1:3" x14ac:dyDescent="0.2">
      <c r="A231" t="s">
        <v>658</v>
      </c>
      <c r="C231" t="s">
        <v>326</v>
      </c>
    </row>
    <row r="232" spans="1:3" x14ac:dyDescent="0.2">
      <c r="A232" t="s">
        <v>934</v>
      </c>
      <c r="C232" t="s">
        <v>922</v>
      </c>
    </row>
    <row r="233" spans="1:3" x14ac:dyDescent="0.2">
      <c r="A233" t="s">
        <v>904</v>
      </c>
      <c r="C233" t="s">
        <v>892</v>
      </c>
    </row>
    <row r="234" spans="1:3" x14ac:dyDescent="0.2">
      <c r="A234" t="s">
        <v>371</v>
      </c>
      <c r="C234" t="s">
        <v>786</v>
      </c>
    </row>
    <row r="235" spans="1:3" x14ac:dyDescent="0.2">
      <c r="A235" t="s">
        <v>583</v>
      </c>
      <c r="C235" t="s">
        <v>350</v>
      </c>
    </row>
    <row r="236" spans="1:3" x14ac:dyDescent="0.2">
      <c r="A236" t="s">
        <v>897</v>
      </c>
      <c r="C236" t="s">
        <v>891</v>
      </c>
    </row>
    <row r="237" spans="1:3" x14ac:dyDescent="0.2">
      <c r="A237" t="s">
        <v>930</v>
      </c>
      <c r="C237" t="s">
        <v>912</v>
      </c>
    </row>
    <row r="238" spans="1:3" x14ac:dyDescent="0.2">
      <c r="A238" t="s">
        <v>905</v>
      </c>
      <c r="C238" t="s">
        <v>893</v>
      </c>
    </row>
    <row r="239" spans="1:3" x14ac:dyDescent="0.2">
      <c r="A239" t="s">
        <v>596</v>
      </c>
      <c r="C239" t="s">
        <v>287</v>
      </c>
    </row>
    <row r="240" spans="1:3" x14ac:dyDescent="0.2">
      <c r="A240" t="s">
        <v>595</v>
      </c>
      <c r="C240" t="s">
        <v>850</v>
      </c>
    </row>
    <row r="241" spans="1:3" x14ac:dyDescent="0.2">
      <c r="A241" t="s">
        <v>609</v>
      </c>
      <c r="C241" t="s">
        <v>720</v>
      </c>
    </row>
    <row r="242" spans="1:3" x14ac:dyDescent="0.2">
      <c r="A242" t="s">
        <v>806</v>
      </c>
      <c r="C242" t="s">
        <v>641</v>
      </c>
    </row>
    <row r="243" spans="1:3" x14ac:dyDescent="0.2">
      <c r="A243" t="s">
        <v>585</v>
      </c>
      <c r="C243" t="s">
        <v>288</v>
      </c>
    </row>
    <row r="244" spans="1:3" x14ac:dyDescent="0.2">
      <c r="A244" t="s">
        <v>697</v>
      </c>
      <c r="C244" t="s">
        <v>702</v>
      </c>
    </row>
    <row r="245" spans="1:3" x14ac:dyDescent="0.2">
      <c r="A245" t="s">
        <v>733</v>
      </c>
      <c r="C245" t="s">
        <v>719</v>
      </c>
    </row>
    <row r="246" spans="1:3" x14ac:dyDescent="0.2">
      <c r="A246" t="s">
        <v>866</v>
      </c>
      <c r="C246" t="s">
        <v>510</v>
      </c>
    </row>
    <row r="247" spans="1:3" x14ac:dyDescent="0.2">
      <c r="A247" t="s">
        <v>622</v>
      </c>
      <c r="C247" t="s">
        <v>291</v>
      </c>
    </row>
    <row r="248" spans="1:3" x14ac:dyDescent="0.2">
      <c r="A248" t="s">
        <v>718</v>
      </c>
      <c r="C248" t="s">
        <v>292</v>
      </c>
    </row>
    <row r="249" spans="1:3" x14ac:dyDescent="0.2">
      <c r="A249" t="s">
        <v>804</v>
      </c>
      <c r="C249" t="s">
        <v>643</v>
      </c>
    </row>
    <row r="250" spans="1:3" x14ac:dyDescent="0.2">
      <c r="A250" t="s">
        <v>762</v>
      </c>
      <c r="C250" t="s">
        <v>448</v>
      </c>
    </row>
    <row r="251" spans="1:3" x14ac:dyDescent="0.2">
      <c r="A251" t="s">
        <v>761</v>
      </c>
      <c r="C251" t="s">
        <v>812</v>
      </c>
    </row>
    <row r="252" spans="1:3" x14ac:dyDescent="0.2">
      <c r="A252" t="s">
        <v>760</v>
      </c>
      <c r="C252" t="s">
        <v>378</v>
      </c>
    </row>
    <row r="253" spans="1:3" x14ac:dyDescent="0.2">
      <c r="A253" t="s">
        <v>425</v>
      </c>
      <c r="C253" t="s">
        <v>799</v>
      </c>
    </row>
    <row r="254" spans="1:3" x14ac:dyDescent="0.2">
      <c r="A254" t="s">
        <v>430</v>
      </c>
      <c r="C254" t="s">
        <v>666</v>
      </c>
    </row>
    <row r="255" spans="1:3" x14ac:dyDescent="0.2">
      <c r="A255" t="s">
        <v>780</v>
      </c>
      <c r="C255" t="s">
        <v>289</v>
      </c>
    </row>
    <row r="256" spans="1:3" x14ac:dyDescent="0.2">
      <c r="A256" t="s">
        <v>715</v>
      </c>
      <c r="C256" t="s">
        <v>290</v>
      </c>
    </row>
    <row r="257" spans="1:3" x14ac:dyDescent="0.2">
      <c r="A257" t="s">
        <v>380</v>
      </c>
      <c r="C257" t="s">
        <v>712</v>
      </c>
    </row>
    <row r="258" spans="1:3" x14ac:dyDescent="0.2">
      <c r="A258" t="s">
        <v>605</v>
      </c>
      <c r="C258" t="s">
        <v>700</v>
      </c>
    </row>
    <row r="259" spans="1:3" x14ac:dyDescent="0.2">
      <c r="A259" t="s">
        <v>946</v>
      </c>
      <c r="C259" t="s">
        <v>925</v>
      </c>
    </row>
    <row r="260" spans="1:3" x14ac:dyDescent="0.2">
      <c r="A260" t="s">
        <v>581</v>
      </c>
      <c r="C260" t="s">
        <v>700</v>
      </c>
    </row>
    <row r="261" spans="1:3" x14ac:dyDescent="0.2">
      <c r="A261" t="s">
        <v>410</v>
      </c>
      <c r="C261" t="s">
        <v>800</v>
      </c>
    </row>
    <row r="262" spans="1:3" x14ac:dyDescent="0.2">
      <c r="A262" t="s">
        <v>463</v>
      </c>
      <c r="C262" t="s">
        <v>801</v>
      </c>
    </row>
    <row r="263" spans="1:3" x14ac:dyDescent="0.2">
      <c r="A263" t="s">
        <v>735</v>
      </c>
      <c r="C263" t="s">
        <v>236</v>
      </c>
    </row>
    <row r="264" spans="1:3" x14ac:dyDescent="0.2">
      <c r="A264" t="s">
        <v>431</v>
      </c>
      <c r="C264" t="s">
        <v>606</v>
      </c>
    </row>
    <row r="265" spans="1:3" x14ac:dyDescent="0.2">
      <c r="A265" t="s">
        <v>435</v>
      </c>
      <c r="C265" t="s">
        <v>739</v>
      </c>
    </row>
    <row r="266" spans="1:3" x14ac:dyDescent="0.2">
      <c r="A266" t="s">
        <v>696</v>
      </c>
      <c r="C266" t="s">
        <v>295</v>
      </c>
    </row>
    <row r="267" spans="1:3" x14ac:dyDescent="0.2">
      <c r="A267" t="s">
        <v>625</v>
      </c>
      <c r="C267" t="s">
        <v>444</v>
      </c>
    </row>
    <row r="268" spans="1:3" x14ac:dyDescent="0.2">
      <c r="A268" t="s">
        <v>426</v>
      </c>
      <c r="C268" t="s">
        <v>830</v>
      </c>
    </row>
    <row r="269" spans="1:3" x14ac:dyDescent="0.2">
      <c r="A269" t="s">
        <v>765</v>
      </c>
      <c r="C269" t="s">
        <v>293</v>
      </c>
    </row>
    <row r="270" spans="1:3" x14ac:dyDescent="0.2">
      <c r="A270" t="s">
        <v>393</v>
      </c>
      <c r="C270" t="s">
        <v>730</v>
      </c>
    </row>
    <row r="271" spans="1:3" x14ac:dyDescent="0.2">
      <c r="A271" t="s">
        <v>466</v>
      </c>
      <c r="C271" t="s">
        <v>294</v>
      </c>
    </row>
    <row r="272" spans="1:3" x14ac:dyDescent="0.2">
      <c r="A272" t="s">
        <v>438</v>
      </c>
      <c r="C272" t="s">
        <v>377</v>
      </c>
    </row>
    <row r="273" spans="1:3" x14ac:dyDescent="0.2">
      <c r="A273" t="s">
        <v>428</v>
      </c>
      <c r="C273" t="s">
        <v>376</v>
      </c>
    </row>
    <row r="274" spans="1:3" x14ac:dyDescent="0.2">
      <c r="A274" t="s">
        <v>803</v>
      </c>
      <c r="C274" t="s">
        <v>472</v>
      </c>
    </row>
    <row r="275" spans="1:3" x14ac:dyDescent="0.2">
      <c r="A275" t="s">
        <v>849</v>
      </c>
      <c r="C275" t="s">
        <v>881</v>
      </c>
    </row>
    <row r="276" spans="1:3" x14ac:dyDescent="0.2">
      <c r="A276" t="s">
        <v>639</v>
      </c>
      <c r="C276" t="s">
        <v>749</v>
      </c>
    </row>
    <row r="277" spans="1:3" x14ac:dyDescent="0.2">
      <c r="A277" t="s">
        <v>526</v>
      </c>
      <c r="C277" t="s">
        <v>855</v>
      </c>
    </row>
    <row r="278" spans="1:3" x14ac:dyDescent="0.2">
      <c r="A278" t="s">
        <v>607</v>
      </c>
      <c r="C278" t="s">
        <v>766</v>
      </c>
    </row>
    <row r="279" spans="1:3" x14ac:dyDescent="0.2">
      <c r="A279" t="s">
        <v>500</v>
      </c>
      <c r="C279" t="s">
        <v>784</v>
      </c>
    </row>
    <row r="280" spans="1:3" x14ac:dyDescent="0.2">
      <c r="A280" t="s">
        <v>958</v>
      </c>
      <c r="C280" t="s">
        <v>932</v>
      </c>
    </row>
    <row r="281" spans="1:3" x14ac:dyDescent="0.2">
      <c r="A281" t="s">
        <v>863</v>
      </c>
      <c r="C281" t="s">
        <v>885</v>
      </c>
    </row>
    <row r="282" spans="1:3" x14ac:dyDescent="0.2">
      <c r="A282" t="s">
        <v>829</v>
      </c>
      <c r="C282" t="s">
        <v>400</v>
      </c>
    </row>
    <row r="283" spans="1:3" x14ac:dyDescent="0.2">
      <c r="A283" t="s">
        <v>365</v>
      </c>
      <c r="C283" t="s">
        <v>476</v>
      </c>
    </row>
    <row r="284" spans="1:3" x14ac:dyDescent="0.2">
      <c r="A284" t="s">
        <v>337</v>
      </c>
      <c r="C284" t="s">
        <v>528</v>
      </c>
    </row>
    <row r="285" spans="1:3" x14ac:dyDescent="0.2">
      <c r="A285" t="s">
        <v>392</v>
      </c>
      <c r="C285" t="s">
        <v>755</v>
      </c>
    </row>
    <row r="286" spans="1:3" x14ac:dyDescent="0.2">
      <c r="A286" t="s">
        <v>392</v>
      </c>
      <c r="C286" t="s">
        <v>769</v>
      </c>
    </row>
    <row r="287" spans="1:3" x14ac:dyDescent="0.2">
      <c r="A287" t="s">
        <v>415</v>
      </c>
      <c r="C287" t="s">
        <v>770</v>
      </c>
    </row>
    <row r="288" spans="1:3" x14ac:dyDescent="0.2">
      <c r="A288" t="s">
        <v>844</v>
      </c>
      <c r="C288" t="s">
        <v>756</v>
      </c>
    </row>
    <row r="289" spans="1:3" x14ac:dyDescent="0.2">
      <c r="A289" t="s">
        <v>744</v>
      </c>
      <c r="C289" t="s">
        <v>663</v>
      </c>
    </row>
    <row r="290" spans="1:3" x14ac:dyDescent="0.2">
      <c r="A290" t="s">
        <v>823</v>
      </c>
      <c r="C290" t="s">
        <v>870</v>
      </c>
    </row>
    <row r="291" spans="1:3" x14ac:dyDescent="0.2">
      <c r="A291" t="s">
        <v>828</v>
      </c>
      <c r="C291" t="s">
        <v>651</v>
      </c>
    </row>
    <row r="292" spans="1:3" x14ac:dyDescent="0.2">
      <c r="A292" t="s">
        <v>493</v>
      </c>
      <c r="C292" t="s">
        <v>840</v>
      </c>
    </row>
    <row r="293" spans="1:3" x14ac:dyDescent="0.2">
      <c r="A293" t="s">
        <v>821</v>
      </c>
      <c r="C293" t="s">
        <v>296</v>
      </c>
    </row>
    <row r="294" spans="1:3" x14ac:dyDescent="0.2">
      <c r="A294" t="s">
        <v>764</v>
      </c>
      <c r="C294" t="s">
        <v>534</v>
      </c>
    </row>
    <row r="295" spans="1:3" x14ac:dyDescent="0.2">
      <c r="A295" t="s">
        <v>579</v>
      </c>
      <c r="C295" t="s">
        <v>599</v>
      </c>
    </row>
    <row r="296" spans="1:3" x14ac:dyDescent="0.2">
      <c r="A296" t="s">
        <v>302</v>
      </c>
      <c r="C296" t="s">
        <v>297</v>
      </c>
    </row>
    <row r="297" spans="1:3" x14ac:dyDescent="0.2">
      <c r="A297" t="s">
        <v>792</v>
      </c>
      <c r="C297" t="s">
        <v>589</v>
      </c>
    </row>
    <row r="298" spans="1:3" x14ac:dyDescent="0.2">
      <c r="A298" t="s">
        <v>593</v>
      </c>
      <c r="C298" t="s">
        <v>298</v>
      </c>
    </row>
    <row r="299" spans="1:3" x14ac:dyDescent="0.2">
      <c r="A299" t="s">
        <v>339</v>
      </c>
      <c r="C299" t="s">
        <v>795</v>
      </c>
    </row>
    <row r="300" spans="1:3" x14ac:dyDescent="0.2">
      <c r="A300" t="s">
        <v>436</v>
      </c>
      <c r="C300" t="s">
        <v>824</v>
      </c>
    </row>
    <row r="301" spans="1:3" x14ac:dyDescent="0.2">
      <c r="A301" t="s">
        <v>437</v>
      </c>
      <c r="C301" t="s">
        <v>826</v>
      </c>
    </row>
    <row r="302" spans="1:3" x14ac:dyDescent="0.2">
      <c r="A302" t="s">
        <v>498</v>
      </c>
      <c r="C302" t="s">
        <v>506</v>
      </c>
    </row>
    <row r="303" spans="1:3" x14ac:dyDescent="0.2">
      <c r="A303" t="s">
        <v>468</v>
      </c>
      <c r="C303" t="s">
        <v>661</v>
      </c>
    </row>
    <row r="304" spans="1:3" x14ac:dyDescent="0.2">
      <c r="A304" t="s">
        <v>657</v>
      </c>
      <c r="C304" t="s">
        <v>511</v>
      </c>
    </row>
    <row r="305" spans="1:3" x14ac:dyDescent="0.2">
      <c r="A305" t="s">
        <v>412</v>
      </c>
      <c r="C305" t="s">
        <v>690</v>
      </c>
    </row>
    <row r="306" spans="1:3" x14ac:dyDescent="0.2">
      <c r="A306" t="s">
        <v>727</v>
      </c>
      <c r="C306" t="s">
        <v>319</v>
      </c>
    </row>
    <row r="307" spans="1:3" x14ac:dyDescent="0.2">
      <c r="A307" t="s">
        <v>499</v>
      </c>
      <c r="C307" t="s">
        <v>839</v>
      </c>
    </row>
    <row r="308" spans="1:3" x14ac:dyDescent="0.2">
      <c r="A308" t="s">
        <v>873</v>
      </c>
      <c r="C308" t="s">
        <v>479</v>
      </c>
    </row>
    <row r="309" spans="1:3" x14ac:dyDescent="0.2">
      <c r="A309" t="s">
        <v>745</v>
      </c>
      <c r="C309" t="s">
        <v>508</v>
      </c>
    </row>
    <row r="310" spans="1:3" x14ac:dyDescent="0.2">
      <c r="C310" t="s">
        <v>936</v>
      </c>
    </row>
    <row r="311" spans="1:3" x14ac:dyDescent="0.2">
      <c r="C311" t="s">
        <v>937</v>
      </c>
    </row>
    <row r="312" spans="1:3" x14ac:dyDescent="0.2">
      <c r="C312" t="s">
        <v>948</v>
      </c>
    </row>
    <row r="313" spans="1:3" x14ac:dyDescent="0.2">
      <c r="C313" t="s">
        <v>949</v>
      </c>
    </row>
    <row r="314" spans="1:3" x14ac:dyDescent="0.2">
      <c r="C314" t="s">
        <v>950</v>
      </c>
    </row>
    <row r="315" spans="1:3" x14ac:dyDescent="0.2">
      <c r="C315" t="s">
        <v>951</v>
      </c>
    </row>
    <row r="316" spans="1:3" x14ac:dyDescent="0.2">
      <c r="C316" t="s">
        <v>960</v>
      </c>
    </row>
    <row r="317" spans="1:3" x14ac:dyDescent="0.2">
      <c r="C317" t="s">
        <v>961</v>
      </c>
    </row>
    <row r="318" spans="1:3" x14ac:dyDescent="0.2">
      <c r="C318" t="s">
        <v>962</v>
      </c>
    </row>
    <row r="319" spans="1:3" x14ac:dyDescent="0.2">
      <c r="C319" t="s">
        <v>963</v>
      </c>
    </row>
    <row r="320" spans="1:3" x14ac:dyDescent="0.2">
      <c r="C320" t="s">
        <v>964</v>
      </c>
    </row>
    <row r="321" spans="3:3" x14ac:dyDescent="0.2">
      <c r="C321" t="s">
        <v>966</v>
      </c>
    </row>
    <row r="322" spans="3:3" x14ac:dyDescent="0.2">
      <c r="C322" t="s">
        <v>965</v>
      </c>
    </row>
  </sheetData>
  <sortState xmlns:xlrd2="http://schemas.microsoft.com/office/spreadsheetml/2017/richdata2" ref="A3:F322">
    <sortCondition ref="A3:A322"/>
  </sortState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8660-2269-B44A-A50F-EBBD7AFB8AE3}">
  <dimension ref="A1:G23"/>
  <sheetViews>
    <sheetView workbookViewId="0">
      <selection activeCell="C14" sqref="C14"/>
    </sheetView>
  </sheetViews>
  <sheetFormatPr baseColWidth="10" defaultRowHeight="16" x14ac:dyDescent="0.2"/>
  <cols>
    <col min="1" max="1" width="11.1640625" bestFit="1" customWidth="1"/>
    <col min="2" max="2" width="10.6640625" customWidth="1"/>
    <col min="3" max="3" width="13.83203125" bestFit="1" customWidth="1"/>
  </cols>
  <sheetData>
    <row r="1" spans="1:7" ht="27" x14ac:dyDescent="0.35">
      <c r="A1" s="48" t="s">
        <v>972</v>
      </c>
      <c r="B1" s="48"/>
      <c r="C1" s="48"/>
      <c r="D1" s="48"/>
      <c r="E1" s="48"/>
    </row>
    <row r="2" spans="1:7" ht="27" x14ac:dyDescent="0.35">
      <c r="A2" s="49" t="s">
        <v>977</v>
      </c>
      <c r="B2" s="49"/>
      <c r="C2" s="49"/>
      <c r="D2" s="49"/>
      <c r="E2" s="49"/>
    </row>
    <row r="3" spans="1:7" ht="22" x14ac:dyDescent="0.3">
      <c r="A3" s="32" t="s">
        <v>978</v>
      </c>
      <c r="B3" s="32" t="s">
        <v>979</v>
      </c>
      <c r="C3" s="32" t="s">
        <v>980</v>
      </c>
      <c r="D3" s="32" t="s">
        <v>979</v>
      </c>
      <c r="E3" s="32"/>
      <c r="G3" s="33" t="s">
        <v>984</v>
      </c>
    </row>
    <row r="4" spans="1:7" x14ac:dyDescent="0.2">
      <c r="A4" s="16" t="s">
        <v>981</v>
      </c>
      <c r="B4" s="16">
        <v>0.1</v>
      </c>
      <c r="C4" s="16" t="s">
        <v>975</v>
      </c>
      <c r="D4" s="16">
        <v>0.01</v>
      </c>
      <c r="E4" s="16"/>
      <c r="G4" t="s">
        <v>985</v>
      </c>
    </row>
    <row r="5" spans="1:7" x14ac:dyDescent="0.2">
      <c r="A5" s="16" t="s">
        <v>982</v>
      </c>
      <c r="B5" s="16">
        <v>0.1</v>
      </c>
      <c r="C5" s="16" t="s">
        <v>974</v>
      </c>
      <c r="D5" s="16">
        <v>0.02</v>
      </c>
      <c r="E5" s="16"/>
    </row>
    <row r="6" spans="1:7" x14ac:dyDescent="0.2">
      <c r="A6" s="16" t="s">
        <v>1020</v>
      </c>
      <c r="B6" s="16"/>
      <c r="C6" s="16" t="s">
        <v>973</v>
      </c>
      <c r="D6" s="16">
        <v>0.02</v>
      </c>
      <c r="E6" s="16"/>
    </row>
    <row r="7" spans="1:7" x14ac:dyDescent="0.2">
      <c r="A7" s="16" t="s">
        <v>1021</v>
      </c>
      <c r="B7" s="16"/>
      <c r="C7" s="16" t="s">
        <v>976</v>
      </c>
      <c r="D7" s="16">
        <v>0.03</v>
      </c>
      <c r="E7" s="16"/>
    </row>
    <row r="8" spans="1:7" x14ac:dyDescent="0.2">
      <c r="A8" s="16" t="s">
        <v>1022</v>
      </c>
      <c r="B8" s="16"/>
      <c r="C8" s="16" t="s">
        <v>983</v>
      </c>
      <c r="D8" s="16">
        <v>0.05</v>
      </c>
      <c r="E8" s="16"/>
    </row>
    <row r="9" spans="1:7" x14ac:dyDescent="0.2">
      <c r="A9" s="16" t="s">
        <v>1023</v>
      </c>
      <c r="B9" s="16"/>
      <c r="C9" s="34" t="s">
        <v>1027</v>
      </c>
      <c r="D9" s="16"/>
      <c r="E9" s="16"/>
    </row>
    <row r="10" spans="1:7" x14ac:dyDescent="0.2">
      <c r="A10" s="16" t="s">
        <v>1024</v>
      </c>
      <c r="B10" s="16"/>
      <c r="C10" s="34" t="s">
        <v>1031</v>
      </c>
      <c r="D10" s="16"/>
      <c r="E10" s="16"/>
    </row>
    <row r="11" spans="1:7" x14ac:dyDescent="0.2">
      <c r="A11" s="16" t="s">
        <v>1025</v>
      </c>
      <c r="B11" s="16"/>
      <c r="C11" s="34" t="s">
        <v>1033</v>
      </c>
      <c r="D11" s="16"/>
      <c r="E11" s="16"/>
    </row>
    <row r="12" spans="1:7" x14ac:dyDescent="0.2">
      <c r="A12" s="16" t="s">
        <v>1026</v>
      </c>
      <c r="B12" s="16"/>
      <c r="C12" s="16" t="s">
        <v>1034</v>
      </c>
      <c r="D12" s="16"/>
      <c r="E12" s="16"/>
    </row>
    <row r="13" spans="1:7" x14ac:dyDescent="0.2">
      <c r="A13" s="16" t="s">
        <v>1028</v>
      </c>
      <c r="B13" s="16"/>
      <c r="C13" s="34" t="s">
        <v>1035</v>
      </c>
      <c r="D13" s="16"/>
      <c r="E13" s="16"/>
    </row>
    <row r="14" spans="1:7" x14ac:dyDescent="0.2">
      <c r="A14" s="34" t="s">
        <v>1029</v>
      </c>
      <c r="B14" s="16"/>
      <c r="C14" s="16"/>
      <c r="D14" s="16"/>
      <c r="E14" s="16"/>
    </row>
    <row r="15" spans="1:7" x14ac:dyDescent="0.2">
      <c r="A15" s="34" t="s">
        <v>1030</v>
      </c>
      <c r="B15" s="16"/>
      <c r="C15" s="16"/>
      <c r="D15" s="16"/>
      <c r="E15" s="16"/>
    </row>
    <row r="16" spans="1:7" x14ac:dyDescent="0.2">
      <c r="A16" s="16" t="s">
        <v>1032</v>
      </c>
      <c r="B16" s="16"/>
      <c r="C16" s="16"/>
      <c r="D16" s="16"/>
      <c r="E16" s="16"/>
    </row>
    <row r="17" spans="1:5" x14ac:dyDescent="0.2">
      <c r="A17" s="16"/>
      <c r="B17" s="16"/>
      <c r="C17" s="16"/>
      <c r="D17" s="16"/>
      <c r="E17" s="16"/>
    </row>
    <row r="18" spans="1:5" x14ac:dyDescent="0.2">
      <c r="A18" s="16"/>
      <c r="B18" s="16"/>
      <c r="C18" s="16"/>
      <c r="D18" s="16"/>
      <c r="E18" s="16"/>
    </row>
    <row r="19" spans="1:5" x14ac:dyDescent="0.2">
      <c r="A19" s="16"/>
      <c r="B19" s="16"/>
      <c r="C19" s="16"/>
      <c r="D19" s="16"/>
      <c r="E19" s="16"/>
    </row>
    <row r="20" spans="1:5" x14ac:dyDescent="0.2">
      <c r="A20" s="16"/>
      <c r="B20" s="16"/>
      <c r="C20" s="16"/>
      <c r="D20" s="16"/>
      <c r="E20" s="16"/>
    </row>
    <row r="21" spans="1:5" x14ac:dyDescent="0.2">
      <c r="A21" s="16"/>
      <c r="B21" s="16"/>
      <c r="C21" s="16"/>
      <c r="D21" s="16"/>
      <c r="E21" s="16"/>
    </row>
    <row r="22" spans="1:5" x14ac:dyDescent="0.2">
      <c r="A22" s="16"/>
      <c r="B22" s="16"/>
      <c r="C22" s="16"/>
      <c r="D22" s="16"/>
      <c r="E22" s="16"/>
    </row>
    <row r="23" spans="1:5" x14ac:dyDescent="0.2">
      <c r="A23" s="16"/>
      <c r="B23" s="16"/>
      <c r="C23" s="16"/>
      <c r="D23" s="16"/>
      <c r="E23" s="16"/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weapons</vt:lpstr>
      <vt:lpstr>Abilities</vt:lpstr>
      <vt:lpstr>Exotic Weapons</vt:lpstr>
      <vt:lpstr>mobs</vt:lpstr>
      <vt:lpstr>Armor</vt:lpstr>
      <vt:lpstr>leveling</vt:lpstr>
      <vt:lpstr>level testing</vt:lpstr>
      <vt:lpstr>alpha level to 20</vt:lpstr>
      <vt:lpstr>Stat gains per class</vt:lpstr>
      <vt:lpstr>Names</vt:lpstr>
      <vt:lpstr>Gems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2026-06-09T03:19:10Z</dcterms:modified>
</cp:coreProperties>
</file>