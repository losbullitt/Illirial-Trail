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s/Illirial-Trail/"/>
    </mc:Choice>
  </mc:AlternateContent>
  <xr:revisionPtr revIDLastSave="0" documentId="13_ncr:1_{AE4A404A-AC48-A942-A47A-145020AEDF87}" xr6:coauthVersionLast="47" xr6:coauthVersionMax="47" xr10:uidLastSave="{00000000-0000-0000-0000-000000000000}"/>
  <bookViews>
    <workbookView xWindow="1460" yWindow="1400" windowWidth="27660" windowHeight="16680" activeTab="6" xr2:uid="{F86F549B-5A31-4F42-A680-6D6C856460C8}"/>
  </bookViews>
  <sheets>
    <sheet name="weapons" sheetId="1" r:id="rId1"/>
    <sheet name="mobs" sheetId="2" r:id="rId2"/>
    <sheet name="leveling" sheetId="3" r:id="rId3"/>
    <sheet name="level testing" sheetId="4" r:id="rId4"/>
    <sheet name="alpha level to 20" sheetId="5" r:id="rId5"/>
    <sheet name="Stat gains per class" sheetId="6" r:id="rId6"/>
    <sheet name="Name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5" l="1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3" i="5"/>
  <c r="E5" i="4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4" i="4"/>
  <c r="B12" i="4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5" i="4"/>
  <c r="B6" i="4" s="1"/>
  <c r="B7" i="4" s="1"/>
  <c r="B8" i="4" s="1"/>
  <c r="B9" i="4" s="1"/>
  <c r="B10" i="4" s="1"/>
  <c r="B11" i="4" s="1"/>
  <c r="B4" i="4"/>
  <c r="D12" i="3"/>
  <c r="E12" i="3"/>
  <c r="F12" i="3"/>
  <c r="G12" i="3"/>
  <c r="H12" i="3"/>
  <c r="I12" i="3"/>
  <c r="C11" i="3"/>
  <c r="C12" i="3"/>
  <c r="D11" i="3"/>
  <c r="E11" i="3"/>
  <c r="F11" i="3"/>
  <c r="G11" i="3"/>
  <c r="H11" i="3"/>
  <c r="I11" i="3"/>
  <c r="D10" i="3"/>
  <c r="E10" i="3"/>
  <c r="F10" i="3"/>
  <c r="G10" i="3"/>
  <c r="H10" i="3"/>
  <c r="I10" i="3"/>
  <c r="C10" i="3"/>
  <c r="D9" i="3"/>
  <c r="E9" i="3"/>
  <c r="F9" i="3"/>
  <c r="G9" i="3"/>
  <c r="H9" i="3"/>
  <c r="I9" i="3"/>
  <c r="C9" i="3"/>
  <c r="D7" i="3"/>
  <c r="E7" i="3"/>
  <c r="F7" i="3"/>
  <c r="G7" i="3"/>
  <c r="H7" i="3"/>
  <c r="I7" i="3"/>
  <c r="C7" i="3"/>
</calcChain>
</file>

<file path=xl/sharedStrings.xml><?xml version="1.0" encoding="utf-8"?>
<sst xmlns="http://schemas.openxmlformats.org/spreadsheetml/2006/main" count="487" uniqueCount="310">
  <si>
    <t>Weapons</t>
  </si>
  <si>
    <t>Iron Sword</t>
  </si>
  <si>
    <t>Steel Sword</t>
  </si>
  <si>
    <t>dmg modifier</t>
  </si>
  <si>
    <t>add dmg</t>
  </si>
  <si>
    <t>Bright Blade</t>
  </si>
  <si>
    <t>Crystal Sword</t>
  </si>
  <si>
    <t>Flamebrand</t>
  </si>
  <si>
    <t>Icebrand</t>
  </si>
  <si>
    <t>Lightning Blade</t>
  </si>
  <si>
    <t>Vorpal Sword</t>
  </si>
  <si>
    <t>Falchion</t>
  </si>
  <si>
    <t>Gladius</t>
  </si>
  <si>
    <t>Longsword</t>
  </si>
  <si>
    <t>Broadsword</t>
  </si>
  <si>
    <t>Claymore</t>
  </si>
  <si>
    <t>Rapier</t>
  </si>
  <si>
    <t>Katana</t>
  </si>
  <si>
    <t>Tanto</t>
  </si>
  <si>
    <t>Wakizashi</t>
  </si>
  <si>
    <t>Nodachi</t>
  </si>
  <si>
    <t>Chokuto</t>
  </si>
  <si>
    <t>Dao</t>
  </si>
  <si>
    <t>Hook Sword</t>
  </si>
  <si>
    <t>Scimitar</t>
  </si>
  <si>
    <t>Shamshir</t>
  </si>
  <si>
    <t>Talwar</t>
  </si>
  <si>
    <t>Khopesh</t>
  </si>
  <si>
    <t>Urumi</t>
  </si>
  <si>
    <t>Takoba</t>
  </si>
  <si>
    <t>Shotel</t>
  </si>
  <si>
    <t>Flyssa</t>
  </si>
  <si>
    <t>Barong</t>
  </si>
  <si>
    <t>Kampilan</t>
  </si>
  <si>
    <t>Kris</t>
  </si>
  <si>
    <t>Parang</t>
  </si>
  <si>
    <t>Swords</t>
  </si>
  <si>
    <t>Daggers</t>
  </si>
  <si>
    <t xml:space="preserve">Dagger </t>
  </si>
  <si>
    <t>Knife</t>
  </si>
  <si>
    <t>Butcher's Knife</t>
  </si>
  <si>
    <t>Estoc</t>
  </si>
  <si>
    <t>Machete</t>
  </si>
  <si>
    <t>3</t>
  </si>
  <si>
    <t>4</t>
  </si>
  <si>
    <t>5</t>
  </si>
  <si>
    <t>6</t>
  </si>
  <si>
    <t>1 fire</t>
  </si>
  <si>
    <t>1 ice</t>
  </si>
  <si>
    <t>1 lit</t>
  </si>
  <si>
    <t>1 water</t>
  </si>
  <si>
    <t>1 holy</t>
  </si>
  <si>
    <t>2 holy</t>
  </si>
  <si>
    <t>Excalibur</t>
  </si>
  <si>
    <t>8</t>
  </si>
  <si>
    <t>3 holy</t>
  </si>
  <si>
    <t>2</t>
  </si>
  <si>
    <t>3 crit</t>
  </si>
  <si>
    <t>2 crit</t>
  </si>
  <si>
    <t>2 luck</t>
  </si>
  <si>
    <t>Red Beard's Blade</t>
  </si>
  <si>
    <t>2 water</t>
  </si>
  <si>
    <t>Arming Sword</t>
  </si>
  <si>
    <t>7</t>
  </si>
  <si>
    <t>1 luck</t>
  </si>
  <si>
    <t>1 str</t>
  </si>
  <si>
    <t>1</t>
  </si>
  <si>
    <t>Axe</t>
  </si>
  <si>
    <t>War Axe</t>
  </si>
  <si>
    <t>Tomahawk</t>
  </si>
  <si>
    <t>Double-bit Battle Axe</t>
  </si>
  <si>
    <t>Mace</t>
  </si>
  <si>
    <t>Christchurch Flail</t>
  </si>
  <si>
    <t>Flail</t>
  </si>
  <si>
    <t>Round mace</t>
  </si>
  <si>
    <t>Blunted Mace</t>
  </si>
  <si>
    <t>Spiked Mace</t>
  </si>
  <si>
    <t>Spears</t>
  </si>
  <si>
    <t>Guard Spear</t>
  </si>
  <si>
    <t>Throwing Spear</t>
  </si>
  <si>
    <t>Monsters</t>
  </si>
  <si>
    <t>name</t>
  </si>
  <si>
    <t>hp</t>
  </si>
  <si>
    <t>mp</t>
  </si>
  <si>
    <t>Imp</t>
  </si>
  <si>
    <t>Goblin</t>
  </si>
  <si>
    <t>Bandit</t>
  </si>
  <si>
    <t>Bandit Leader</t>
  </si>
  <si>
    <t>Bandit caster</t>
  </si>
  <si>
    <t>Skeleton</t>
  </si>
  <si>
    <t>Skeleton King</t>
  </si>
  <si>
    <t>Undead</t>
  </si>
  <si>
    <t>Wraith</t>
  </si>
  <si>
    <t>Lich</t>
  </si>
  <si>
    <t>Lich King</t>
  </si>
  <si>
    <t>Wolf</t>
  </si>
  <si>
    <t>Dire Wolf</t>
  </si>
  <si>
    <t>Dread Wolf</t>
  </si>
  <si>
    <t>Bear</t>
  </si>
  <si>
    <t>Grizzly Bear</t>
  </si>
  <si>
    <t>Golden Bear</t>
  </si>
  <si>
    <t>Ghost Bear</t>
  </si>
  <si>
    <t>atk</t>
  </si>
  <si>
    <t>9</t>
  </si>
  <si>
    <t>13</t>
  </si>
  <si>
    <t>12</t>
  </si>
  <si>
    <t>Drake</t>
  </si>
  <si>
    <t>Dragon</t>
  </si>
  <si>
    <t>Greater Dragon</t>
  </si>
  <si>
    <t>Titan</t>
  </si>
  <si>
    <t xml:space="preserve">Ghost  </t>
  </si>
  <si>
    <t>Demon</t>
  </si>
  <si>
    <t>Balor</t>
  </si>
  <si>
    <t>Type</t>
  </si>
  <si>
    <t>Wildlife</t>
  </si>
  <si>
    <t>Humanoid</t>
  </si>
  <si>
    <t>Mystical</t>
  </si>
  <si>
    <t>Troll</t>
  </si>
  <si>
    <t>Ogre</t>
  </si>
  <si>
    <t>25</t>
  </si>
  <si>
    <t>45</t>
  </si>
  <si>
    <t>65</t>
  </si>
  <si>
    <t>soldiers</t>
  </si>
  <si>
    <t>knight</t>
  </si>
  <si>
    <t>mage</t>
  </si>
  <si>
    <t>cleric</t>
  </si>
  <si>
    <t>priest</t>
  </si>
  <si>
    <t>60</t>
  </si>
  <si>
    <t>14</t>
  </si>
  <si>
    <t>15</t>
  </si>
  <si>
    <t>23</t>
  </si>
  <si>
    <t>26</t>
  </si>
  <si>
    <t>10</t>
  </si>
  <si>
    <t>32</t>
  </si>
  <si>
    <t>50</t>
  </si>
  <si>
    <t>20</t>
  </si>
  <si>
    <t>Character stats</t>
  </si>
  <si>
    <t>BASE</t>
  </si>
  <si>
    <t>Str</t>
  </si>
  <si>
    <t>Strenth (Str)</t>
  </si>
  <si>
    <t>Intelligence (Int)</t>
  </si>
  <si>
    <t>Stamina (Stam)</t>
  </si>
  <si>
    <t>Luck (Luck)</t>
  </si>
  <si>
    <t>Soldier</t>
  </si>
  <si>
    <t>Merchant</t>
  </si>
  <si>
    <t>Artisan</t>
  </si>
  <si>
    <t>Farmer</t>
  </si>
  <si>
    <t>Mercenary</t>
  </si>
  <si>
    <t>Priest</t>
  </si>
  <si>
    <t>Mage</t>
  </si>
  <si>
    <t>-1</t>
  </si>
  <si>
    <t>TOTAL</t>
  </si>
  <si>
    <t>AFTER JOB CLASS</t>
  </si>
  <si>
    <t># use to keep a baseline on all classes in first build and expanded versions</t>
  </si>
  <si>
    <t>Int</t>
  </si>
  <si>
    <t>Stam</t>
  </si>
  <si>
    <t>Luck</t>
  </si>
  <si>
    <t xml:space="preserve">1 str = .5 atk to lvl 10, then 1 until level 20. </t>
  </si>
  <si>
    <t>1 int = 2mp until lvl 10, then 3 until level 20. 1 int = .5 magic dmg until lvl 10, then 1 until level 20</t>
  </si>
  <si>
    <t xml:space="preserve">1 stam = 1 hp until level 10, then 1.5 until lvl 20. </t>
  </si>
  <si>
    <t>Max cap before upgrades</t>
  </si>
  <si>
    <t>1 luck = .5 luck until lvl 5. 1 luck = 1 luck until lvl 15. 1 luck = 2 luck until level 20.</t>
  </si>
  <si>
    <t xml:space="preserve">After lvl 20, until lvl 50, stat increases are based on rng 0-* depending on class and modifiers. </t>
  </si>
  <si>
    <t>SK Kew Kumber</t>
  </si>
  <si>
    <t>75</t>
  </si>
  <si>
    <t>99</t>
  </si>
  <si>
    <t>spell damage</t>
  </si>
  <si>
    <t>Troll King Bait</t>
  </si>
  <si>
    <t>150</t>
  </si>
  <si>
    <t>0</t>
  </si>
  <si>
    <t>level scaling</t>
  </si>
  <si>
    <t>test 1</t>
  </si>
  <si>
    <t>xp needed</t>
  </si>
  <si>
    <t>test 2</t>
  </si>
  <si>
    <t>level + xp = total</t>
  </si>
  <si>
    <t>(level + xp)/2 = level</t>
  </si>
  <si>
    <t>test 3</t>
  </si>
  <si>
    <t xml:space="preserve">lvl </t>
  </si>
  <si>
    <t xml:space="preserve">levels work for the alpha build as a way to differentiate the enemies and their loot table. </t>
  </si>
  <si>
    <t xml:space="preserve">lvl 1 </t>
  </si>
  <si>
    <t>XP</t>
  </si>
  <si>
    <t>lv 2</t>
  </si>
  <si>
    <t>lvl 3</t>
  </si>
  <si>
    <t>XP, Gold, &lt; RNG(.05) loot</t>
  </si>
  <si>
    <t>XP, Gold, &lt; RNG(.3) loot</t>
  </si>
  <si>
    <t>Level scaling 1-20</t>
  </si>
  <si>
    <t xml:space="preserve">level  </t>
  </si>
  <si>
    <t>xp to next level</t>
  </si>
  <si>
    <t>soldier</t>
  </si>
  <si>
    <t>merchant</t>
  </si>
  <si>
    <t>artisan</t>
  </si>
  <si>
    <t>mercenary</t>
  </si>
  <si>
    <t>per level gain</t>
  </si>
  <si>
    <t>Strength</t>
  </si>
  <si>
    <t>Intelligence</t>
  </si>
  <si>
    <t>Stamina</t>
  </si>
  <si>
    <t>rng(3)</t>
  </si>
  <si>
    <t>rng(1)</t>
  </si>
  <si>
    <t>rng(2)</t>
  </si>
  <si>
    <t>1 int = rng(10) mp until lvl 10, then rng(20) until level 20. 1 int = .5 magic dmg until lvl 10, then 1 until level 20</t>
  </si>
  <si>
    <t xml:space="preserve">1 stam = rng(3) hp until level 10, then rng(6) until lvl 20. </t>
  </si>
  <si>
    <t xml:space="preserve">1 str = 1 atk to lvl 10, then 2 until level 20. </t>
  </si>
  <si>
    <t>rng(4)</t>
  </si>
  <si>
    <t>Crit</t>
  </si>
  <si>
    <t>1 luck = .01% crit. Crit is 200% damage.</t>
  </si>
  <si>
    <t>Names</t>
  </si>
  <si>
    <t>Male</t>
  </si>
  <si>
    <t>Female</t>
  </si>
  <si>
    <t>Last Name</t>
  </si>
  <si>
    <t>Mateus</t>
  </si>
  <si>
    <t>Aramar</t>
  </si>
  <si>
    <t>Aendather</t>
  </si>
  <si>
    <t>Ben</t>
  </si>
  <si>
    <t>Ander</t>
  </si>
  <si>
    <t>Alexander</t>
  </si>
  <si>
    <t>Grace</t>
  </si>
  <si>
    <t>Evelyn</t>
  </si>
  <si>
    <t>Allura</t>
  </si>
  <si>
    <t>Amanda</t>
  </si>
  <si>
    <t>Aurelia</t>
  </si>
  <si>
    <t>Amelia</t>
  </si>
  <si>
    <t>Emileigh</t>
  </si>
  <si>
    <t>Alyene</t>
  </si>
  <si>
    <t>Anderson</t>
  </si>
  <si>
    <t xml:space="preserve">Anders </t>
  </si>
  <si>
    <t>Beth</t>
  </si>
  <si>
    <t>Belynda</t>
  </si>
  <si>
    <t>Bianca</t>
  </si>
  <si>
    <t>Catherine</t>
  </si>
  <si>
    <t>Carla</t>
  </si>
  <si>
    <t>Elizabeth</t>
  </si>
  <si>
    <t>Elisha</t>
  </si>
  <si>
    <t xml:space="preserve">Eliza </t>
  </si>
  <si>
    <t>Eris</t>
  </si>
  <si>
    <t>Aerie</t>
  </si>
  <si>
    <t>Zelda</t>
  </si>
  <si>
    <t>Fiona</t>
  </si>
  <si>
    <t>Ryona</t>
  </si>
  <si>
    <t>Helene</t>
  </si>
  <si>
    <t>Helena</t>
  </si>
  <si>
    <t>India</t>
  </si>
  <si>
    <t>Jacqueline</t>
  </si>
  <si>
    <t>Brian</t>
  </si>
  <si>
    <t>Bryan</t>
  </si>
  <si>
    <t>Brandon</t>
  </si>
  <si>
    <t>Brayden</t>
  </si>
  <si>
    <t>Brocca</t>
  </si>
  <si>
    <t>Benjamin</t>
  </si>
  <si>
    <t>Benni</t>
  </si>
  <si>
    <t>Chalice</t>
  </si>
  <si>
    <t>Desinty</t>
  </si>
  <si>
    <t>Desmond</t>
  </si>
  <si>
    <t>Derrick</t>
  </si>
  <si>
    <t>Deryk</t>
  </si>
  <si>
    <t>Dionysus</t>
  </si>
  <si>
    <t>Erik</t>
  </si>
  <si>
    <t>Eric</t>
  </si>
  <si>
    <t>Erica</t>
  </si>
  <si>
    <t>Jessica</t>
  </si>
  <si>
    <t>Jessie</t>
  </si>
  <si>
    <t>Jeryca</t>
  </si>
  <si>
    <t>John</t>
  </si>
  <si>
    <t>Jon</t>
  </si>
  <si>
    <t>Jonathan</t>
  </si>
  <si>
    <t>Jonathon</t>
  </si>
  <si>
    <t>Jeremiah</t>
  </si>
  <si>
    <t>Jericho</t>
  </si>
  <si>
    <t>Lamont</t>
  </si>
  <si>
    <t>Layton</t>
  </si>
  <si>
    <t>Luke</t>
  </si>
  <si>
    <t>Liam</t>
  </si>
  <si>
    <t>Kimberly</t>
  </si>
  <si>
    <t>Kathryn</t>
  </si>
  <si>
    <t>Lisa</t>
  </si>
  <si>
    <t>Liz</t>
  </si>
  <si>
    <t>Martha</t>
  </si>
  <si>
    <t>Mary</t>
  </si>
  <si>
    <t>Mandy</t>
  </si>
  <si>
    <t>Nicole</t>
  </si>
  <si>
    <t>Nicola</t>
  </si>
  <si>
    <t>Michelle</t>
  </si>
  <si>
    <t>Michael</t>
  </si>
  <si>
    <t>Mick</t>
  </si>
  <si>
    <t>Michel</t>
  </si>
  <si>
    <t>Hikaru</t>
  </si>
  <si>
    <t>Isamu</t>
  </si>
  <si>
    <t>Hibiki</t>
  </si>
  <si>
    <t>Nichelle</t>
  </si>
  <si>
    <t>Ophilia</t>
  </si>
  <si>
    <t>Pamela</t>
  </si>
  <si>
    <t>Rosa</t>
  </si>
  <si>
    <t>Rosalinda</t>
  </si>
  <si>
    <t>Rachel</t>
  </si>
  <si>
    <t>Rachelle</t>
  </si>
  <si>
    <t>Samantha</t>
  </si>
  <si>
    <t>Sandra</t>
  </si>
  <si>
    <t>Sadie</t>
  </si>
  <si>
    <t>Terri</t>
  </si>
  <si>
    <t>Uelda</t>
  </si>
  <si>
    <t>Viera</t>
  </si>
  <si>
    <t>Ilsa</t>
  </si>
  <si>
    <t>Iliana</t>
  </si>
  <si>
    <t>Jean</t>
  </si>
  <si>
    <t>William</t>
  </si>
  <si>
    <t>Jeordy</t>
  </si>
  <si>
    <t>Austin</t>
  </si>
  <si>
    <t>Bradley</t>
  </si>
  <si>
    <t xml:space="preserve">Brad </t>
  </si>
  <si>
    <t>James</t>
  </si>
  <si>
    <t>Jamison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</si>
</sst>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b/>
      <sz val="20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0" fontId="0" fillId="4" borderId="0" xfId="0" applyFill="1"/>
    <xf numFmtId="0" fontId="0" fillId="5" borderId="0" xfId="0" applyFill="1"/>
    <xf numFmtId="0" fontId="0" fillId="2" borderId="0" xfId="0" applyFill="1"/>
    <xf numFmtId="0" fontId="0" fillId="6" borderId="0" xfId="0" applyFill="1"/>
    <xf numFmtId="49" fontId="0" fillId="6" borderId="0" xfId="0" applyNumberFormat="1" applyFill="1"/>
    <xf numFmtId="0" fontId="0" fillId="3" borderId="0" xfId="0" applyFill="1"/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0" borderId="1" xfId="0" applyBorder="1"/>
    <xf numFmtId="0" fontId="0" fillId="0" borderId="2" xfId="0" applyBorder="1"/>
    <xf numFmtId="1" fontId="0" fillId="0" borderId="1" xfId="0" applyNumberFormat="1" applyBorder="1"/>
    <xf numFmtId="1" fontId="0" fillId="3" borderId="1" xfId="0" applyNumberFormat="1" applyFill="1" applyBorder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4" fillId="0" borderId="3" xfId="0" applyFont="1" applyBorder="1"/>
    <xf numFmtId="1" fontId="4" fillId="0" borderId="0" xfId="0" applyNumberFormat="1" applyFont="1" applyAlignment="1">
      <alignment horizontal="center"/>
    </xf>
    <xf numFmtId="0" fontId="4" fillId="0" borderId="4" xfId="0" applyFont="1" applyBorder="1"/>
    <xf numFmtId="1" fontId="4" fillId="7" borderId="5" xfId="0" applyNumberFormat="1" applyFont="1" applyFill="1" applyBorder="1" applyAlignment="1">
      <alignment horizontal="center"/>
    </xf>
    <xf numFmtId="1" fontId="4" fillId="0" borderId="1" xfId="0" applyNumberFormat="1" applyFont="1" applyBorder="1"/>
    <xf numFmtId="1" fontId="4" fillId="0" borderId="5" xfId="0" applyNumberFormat="1" applyFont="1" applyBorder="1"/>
    <xf numFmtId="1" fontId="4" fillId="0" borderId="3" xfId="0" applyNumberFormat="1" applyFont="1" applyBorder="1"/>
    <xf numFmtId="1" fontId="4" fillId="0" borderId="7" xfId="0" applyNumberFormat="1" applyFont="1" applyBorder="1"/>
    <xf numFmtId="16" fontId="0" fillId="0" borderId="1" xfId="0" applyNumberFormat="1" applyBorder="1"/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12F88-6D3D-0E44-8ED8-2DCE9809B34A}">
  <dimension ref="A1:E377"/>
  <sheetViews>
    <sheetView zoomScale="132" zoomScaleNormal="132" workbookViewId="0">
      <selection activeCell="E10" sqref="E10"/>
    </sheetView>
  </sheetViews>
  <sheetFormatPr baseColWidth="10" defaultRowHeight="16" x14ac:dyDescent="0.2"/>
  <cols>
    <col min="1" max="1" width="18.5" bestFit="1" customWidth="1"/>
  </cols>
  <sheetData>
    <row r="1" spans="1:5" x14ac:dyDescent="0.2">
      <c r="A1" s="2" t="s">
        <v>0</v>
      </c>
    </row>
    <row r="2" spans="1:5" x14ac:dyDescent="0.2">
      <c r="A2" s="3" t="s">
        <v>36</v>
      </c>
      <c r="B2" s="3" t="s">
        <v>3</v>
      </c>
      <c r="C2" s="3" t="s">
        <v>4</v>
      </c>
      <c r="D2" s="3" t="s">
        <v>4</v>
      </c>
      <c r="E2" s="3" t="s">
        <v>4</v>
      </c>
    </row>
    <row r="3" spans="1:5" x14ac:dyDescent="0.2">
      <c r="A3" t="s">
        <v>1</v>
      </c>
      <c r="B3" s="1" t="s">
        <v>43</v>
      </c>
      <c r="C3" s="1"/>
      <c r="D3" s="1"/>
      <c r="E3" s="1"/>
    </row>
    <row r="4" spans="1:5" x14ac:dyDescent="0.2">
      <c r="A4" t="s">
        <v>2</v>
      </c>
      <c r="B4" s="1" t="s">
        <v>44</v>
      </c>
      <c r="C4" s="1"/>
      <c r="D4" s="1"/>
      <c r="E4" s="1"/>
    </row>
    <row r="5" spans="1:5" x14ac:dyDescent="0.2">
      <c r="A5" t="s">
        <v>7</v>
      </c>
      <c r="B5" s="1" t="s">
        <v>46</v>
      </c>
      <c r="C5" s="1" t="s">
        <v>47</v>
      </c>
      <c r="D5" s="1"/>
      <c r="E5" s="1"/>
    </row>
    <row r="6" spans="1:5" x14ac:dyDescent="0.2">
      <c r="A6" t="s">
        <v>8</v>
      </c>
      <c r="B6" s="1" t="s">
        <v>46</v>
      </c>
      <c r="C6" s="1" t="s">
        <v>48</v>
      </c>
      <c r="D6" s="1"/>
      <c r="E6" s="1"/>
    </row>
    <row r="7" spans="1:5" x14ac:dyDescent="0.2">
      <c r="A7" t="s">
        <v>9</v>
      </c>
      <c r="B7" s="1" t="s">
        <v>46</v>
      </c>
      <c r="C7" s="1" t="s">
        <v>49</v>
      </c>
      <c r="D7" s="1"/>
      <c r="E7" s="1"/>
    </row>
    <row r="8" spans="1:5" x14ac:dyDescent="0.2">
      <c r="A8" t="s">
        <v>10</v>
      </c>
      <c r="B8" s="1" t="s">
        <v>46</v>
      </c>
      <c r="C8" s="1" t="s">
        <v>50</v>
      </c>
      <c r="D8" s="1"/>
      <c r="E8" s="1"/>
    </row>
    <row r="9" spans="1:5" x14ac:dyDescent="0.2">
      <c r="A9" t="s">
        <v>5</v>
      </c>
      <c r="B9" s="1" t="s">
        <v>45</v>
      </c>
      <c r="C9" s="1" t="s">
        <v>51</v>
      </c>
      <c r="D9" s="1"/>
      <c r="E9" s="1"/>
    </row>
    <row r="10" spans="1:5" x14ac:dyDescent="0.2">
      <c r="A10" t="s">
        <v>6</v>
      </c>
      <c r="B10" s="1" t="s">
        <v>63</v>
      </c>
      <c r="C10" s="1" t="s">
        <v>52</v>
      </c>
      <c r="D10" s="1"/>
      <c r="E10" s="1"/>
    </row>
    <row r="11" spans="1:5" x14ac:dyDescent="0.2">
      <c r="A11" t="s">
        <v>11</v>
      </c>
      <c r="B11" s="1" t="s">
        <v>43</v>
      </c>
      <c r="C11" s="1"/>
      <c r="D11" s="1"/>
      <c r="E11" s="1"/>
    </row>
    <row r="12" spans="1:5" x14ac:dyDescent="0.2">
      <c r="A12" t="s">
        <v>12</v>
      </c>
      <c r="B12" s="1" t="s">
        <v>43</v>
      </c>
      <c r="C12" s="1"/>
      <c r="D12" s="1"/>
      <c r="E12" s="1"/>
    </row>
    <row r="13" spans="1:5" x14ac:dyDescent="0.2">
      <c r="A13" t="s">
        <v>62</v>
      </c>
      <c r="B13" s="1" t="s">
        <v>44</v>
      </c>
      <c r="C13" s="1"/>
      <c r="D13" s="1"/>
      <c r="E13" s="1"/>
    </row>
    <row r="14" spans="1:5" x14ac:dyDescent="0.2">
      <c r="A14" t="s">
        <v>13</v>
      </c>
      <c r="B14" s="1" t="s">
        <v>44</v>
      </c>
      <c r="C14" s="1"/>
      <c r="D14" s="1"/>
      <c r="E14" s="1"/>
    </row>
    <row r="15" spans="1:5" x14ac:dyDescent="0.2">
      <c r="A15" t="s">
        <v>14</v>
      </c>
      <c r="B15" s="1" t="s">
        <v>45</v>
      </c>
      <c r="C15" s="1"/>
      <c r="D15" s="1"/>
      <c r="E15" s="1"/>
    </row>
    <row r="16" spans="1:5" x14ac:dyDescent="0.2">
      <c r="A16" t="s">
        <v>15</v>
      </c>
      <c r="B16" s="1" t="s">
        <v>45</v>
      </c>
      <c r="C16" s="1"/>
      <c r="D16" s="1"/>
      <c r="E16" s="1"/>
    </row>
    <row r="17" spans="1:5" x14ac:dyDescent="0.2">
      <c r="A17" t="s">
        <v>16</v>
      </c>
      <c r="B17" s="1" t="s">
        <v>56</v>
      </c>
      <c r="C17" s="1" t="s">
        <v>57</v>
      </c>
      <c r="D17" s="1"/>
      <c r="E17" s="1"/>
    </row>
    <row r="18" spans="1:5" x14ac:dyDescent="0.2">
      <c r="A18" t="s">
        <v>17</v>
      </c>
      <c r="B18" s="1" t="s">
        <v>43</v>
      </c>
      <c r="C18" s="1" t="s">
        <v>58</v>
      </c>
      <c r="D18" s="1"/>
      <c r="E18" s="1"/>
    </row>
    <row r="19" spans="1:5" x14ac:dyDescent="0.2">
      <c r="A19" t="s">
        <v>41</v>
      </c>
      <c r="B19" s="1" t="s">
        <v>56</v>
      </c>
      <c r="C19" s="1"/>
      <c r="D19" s="1"/>
      <c r="E19" s="1"/>
    </row>
    <row r="20" spans="1:5" x14ac:dyDescent="0.2">
      <c r="A20" t="s">
        <v>19</v>
      </c>
      <c r="B20" s="1" t="s">
        <v>43</v>
      </c>
      <c r="C20" s="1"/>
      <c r="D20" s="1"/>
      <c r="E20" s="1"/>
    </row>
    <row r="21" spans="1:5" x14ac:dyDescent="0.2">
      <c r="A21" t="s">
        <v>20</v>
      </c>
      <c r="B21" s="1" t="s">
        <v>45</v>
      </c>
      <c r="C21" s="1"/>
      <c r="D21" s="1"/>
      <c r="E21" s="1"/>
    </row>
    <row r="22" spans="1:5" x14ac:dyDescent="0.2">
      <c r="A22" t="s">
        <v>21</v>
      </c>
      <c r="B22" s="1" t="s">
        <v>44</v>
      </c>
      <c r="C22" s="1"/>
      <c r="D22" s="1"/>
      <c r="E22" s="1"/>
    </row>
    <row r="23" spans="1:5" x14ac:dyDescent="0.2">
      <c r="A23" t="s">
        <v>53</v>
      </c>
      <c r="B23" s="1" t="s">
        <v>54</v>
      </c>
      <c r="C23" s="1" t="s">
        <v>55</v>
      </c>
      <c r="D23" s="1"/>
      <c r="E23" s="1"/>
    </row>
    <row r="24" spans="1:5" x14ac:dyDescent="0.2">
      <c r="A24" t="s">
        <v>22</v>
      </c>
      <c r="B24" s="1" t="s">
        <v>45</v>
      </c>
      <c r="C24" s="1"/>
      <c r="D24" s="1"/>
      <c r="E24" s="1"/>
    </row>
    <row r="25" spans="1:5" x14ac:dyDescent="0.2">
      <c r="A25" t="s">
        <v>23</v>
      </c>
      <c r="B25" s="1" t="s">
        <v>43</v>
      </c>
      <c r="C25" s="1"/>
      <c r="D25" s="1"/>
      <c r="E25" s="1"/>
    </row>
    <row r="26" spans="1:5" x14ac:dyDescent="0.2">
      <c r="A26" t="s">
        <v>24</v>
      </c>
      <c r="B26" s="1" t="s">
        <v>44</v>
      </c>
      <c r="C26" s="1"/>
      <c r="D26" s="1"/>
      <c r="E26" s="1"/>
    </row>
    <row r="27" spans="1:5" x14ac:dyDescent="0.2">
      <c r="A27" t="s">
        <v>25</v>
      </c>
      <c r="B27" s="1" t="s">
        <v>43</v>
      </c>
      <c r="C27" s="1"/>
      <c r="D27" s="1"/>
      <c r="E27" s="1"/>
    </row>
    <row r="28" spans="1:5" x14ac:dyDescent="0.2">
      <c r="A28" t="s">
        <v>26</v>
      </c>
      <c r="B28" s="1" t="s">
        <v>44</v>
      </c>
      <c r="C28" s="1"/>
      <c r="D28" s="1"/>
      <c r="E28" s="1"/>
    </row>
    <row r="29" spans="1:5" x14ac:dyDescent="0.2">
      <c r="A29" t="s">
        <v>27</v>
      </c>
      <c r="B29" s="1" t="s">
        <v>44</v>
      </c>
      <c r="C29" s="1"/>
      <c r="D29" s="1"/>
      <c r="E29" s="1"/>
    </row>
    <row r="30" spans="1:5" x14ac:dyDescent="0.2">
      <c r="A30" t="s">
        <v>28</v>
      </c>
      <c r="B30" s="1" t="s">
        <v>43</v>
      </c>
      <c r="C30" s="1" t="s">
        <v>64</v>
      </c>
      <c r="D30" s="1"/>
      <c r="E30" s="1"/>
    </row>
    <row r="31" spans="1:5" x14ac:dyDescent="0.2">
      <c r="A31" t="s">
        <v>29</v>
      </c>
      <c r="B31" s="1" t="s">
        <v>44</v>
      </c>
      <c r="C31" s="1"/>
      <c r="D31" s="1"/>
      <c r="E31" s="1"/>
    </row>
    <row r="32" spans="1:5" x14ac:dyDescent="0.2">
      <c r="A32" t="s">
        <v>30</v>
      </c>
      <c r="B32" s="1" t="s">
        <v>44</v>
      </c>
      <c r="C32" s="1"/>
      <c r="D32" s="1"/>
      <c r="E32" s="1"/>
    </row>
    <row r="33" spans="1:5" x14ac:dyDescent="0.2">
      <c r="A33" t="s">
        <v>31</v>
      </c>
      <c r="B33" s="1" t="s">
        <v>43</v>
      </c>
      <c r="C33" s="1"/>
      <c r="D33" s="1"/>
      <c r="E33" s="1"/>
    </row>
    <row r="34" spans="1:5" x14ac:dyDescent="0.2">
      <c r="A34" t="s">
        <v>32</v>
      </c>
      <c r="B34" s="1" t="s">
        <v>44</v>
      </c>
      <c r="C34" s="1" t="s">
        <v>65</v>
      </c>
      <c r="D34" s="1"/>
      <c r="E34" s="1"/>
    </row>
    <row r="35" spans="1:5" x14ac:dyDescent="0.2">
      <c r="A35" t="s">
        <v>33</v>
      </c>
      <c r="B35" s="1" t="s">
        <v>44</v>
      </c>
      <c r="C35" s="1"/>
      <c r="D35" s="1"/>
      <c r="E35" s="1"/>
    </row>
    <row r="36" spans="1:5" x14ac:dyDescent="0.2">
      <c r="B36" s="1"/>
      <c r="C36" s="1"/>
      <c r="D36" s="1"/>
      <c r="E36" s="1"/>
    </row>
    <row r="37" spans="1:5" x14ac:dyDescent="0.2">
      <c r="A37" t="s">
        <v>35</v>
      </c>
      <c r="B37" s="1" t="s">
        <v>43</v>
      </c>
      <c r="C37" s="1"/>
      <c r="D37" s="1"/>
      <c r="E37" s="1"/>
    </row>
    <row r="38" spans="1:5" x14ac:dyDescent="0.2">
      <c r="A38" t="s">
        <v>60</v>
      </c>
      <c r="B38" s="1" t="s">
        <v>56</v>
      </c>
      <c r="C38" s="1" t="s">
        <v>59</v>
      </c>
      <c r="D38" s="1" t="s">
        <v>61</v>
      </c>
      <c r="E38" s="1"/>
    </row>
    <row r="39" spans="1:5" x14ac:dyDescent="0.2">
      <c r="A39" s="3" t="s">
        <v>37</v>
      </c>
      <c r="B39" s="1"/>
      <c r="C39" s="1"/>
      <c r="D39" s="1"/>
      <c r="E39" s="1"/>
    </row>
    <row r="40" spans="1:5" x14ac:dyDescent="0.2">
      <c r="A40" t="s">
        <v>18</v>
      </c>
      <c r="B40" s="1" t="s">
        <v>56</v>
      </c>
      <c r="C40" s="1"/>
      <c r="D40" s="1"/>
      <c r="E40" s="1"/>
    </row>
    <row r="41" spans="1:5" x14ac:dyDescent="0.2">
      <c r="A41" t="s">
        <v>38</v>
      </c>
      <c r="B41" s="1" t="s">
        <v>66</v>
      </c>
      <c r="C41" s="1"/>
      <c r="D41" s="1"/>
      <c r="E41" s="1"/>
    </row>
    <row r="42" spans="1:5" x14ac:dyDescent="0.2">
      <c r="A42" t="s">
        <v>39</v>
      </c>
      <c r="B42" s="1" t="s">
        <v>66</v>
      </c>
      <c r="C42" s="1"/>
      <c r="D42" s="1"/>
      <c r="E42" s="1"/>
    </row>
    <row r="43" spans="1:5" x14ac:dyDescent="0.2">
      <c r="A43" t="s">
        <v>40</v>
      </c>
      <c r="B43" s="1" t="s">
        <v>56</v>
      </c>
      <c r="C43" s="1"/>
      <c r="D43" s="1"/>
      <c r="E43" s="1"/>
    </row>
    <row r="44" spans="1:5" x14ac:dyDescent="0.2">
      <c r="A44" t="s">
        <v>42</v>
      </c>
      <c r="B44" s="1" t="s">
        <v>56</v>
      </c>
      <c r="C44" s="1"/>
      <c r="D44" s="1"/>
      <c r="E44" s="1"/>
    </row>
    <row r="45" spans="1:5" x14ac:dyDescent="0.2">
      <c r="A45" t="s">
        <v>34</v>
      </c>
      <c r="B45" s="1" t="s">
        <v>43</v>
      </c>
      <c r="C45" s="1"/>
      <c r="D45" s="1"/>
      <c r="E45" s="1"/>
    </row>
    <row r="46" spans="1:5" x14ac:dyDescent="0.2">
      <c r="B46" s="1"/>
      <c r="C46" s="1"/>
      <c r="D46" s="1"/>
      <c r="E46" s="1"/>
    </row>
    <row r="47" spans="1:5" x14ac:dyDescent="0.2">
      <c r="A47" s="3" t="s">
        <v>67</v>
      </c>
      <c r="B47" s="1"/>
      <c r="C47" s="1"/>
      <c r="D47" s="1"/>
      <c r="E47" s="1"/>
    </row>
    <row r="48" spans="1:5" x14ac:dyDescent="0.2">
      <c r="A48" t="s">
        <v>68</v>
      </c>
      <c r="B48" s="1" t="s">
        <v>43</v>
      </c>
      <c r="C48" s="1"/>
      <c r="D48" s="1"/>
      <c r="E48" s="1"/>
    </row>
    <row r="49" spans="1:5" x14ac:dyDescent="0.2">
      <c r="A49" t="s">
        <v>69</v>
      </c>
      <c r="B49" s="1" t="s">
        <v>56</v>
      </c>
      <c r="C49" s="1" t="s">
        <v>64</v>
      </c>
      <c r="D49" s="1"/>
      <c r="E49" s="1"/>
    </row>
    <row r="50" spans="1:5" x14ac:dyDescent="0.2">
      <c r="A50" t="s">
        <v>70</v>
      </c>
      <c r="B50" s="1" t="s">
        <v>45</v>
      </c>
      <c r="C50" s="1"/>
      <c r="D50" s="1"/>
      <c r="E50" s="1"/>
    </row>
    <row r="51" spans="1:5" x14ac:dyDescent="0.2">
      <c r="B51" s="1"/>
      <c r="C51" s="1"/>
      <c r="D51" s="1"/>
      <c r="E51" s="1"/>
    </row>
    <row r="52" spans="1:5" x14ac:dyDescent="0.2">
      <c r="A52" s="3" t="s">
        <v>71</v>
      </c>
      <c r="B52" s="1"/>
      <c r="C52" s="1"/>
      <c r="D52" s="1"/>
      <c r="E52" s="1"/>
    </row>
    <row r="53" spans="1:5" x14ac:dyDescent="0.2">
      <c r="A53" t="s">
        <v>72</v>
      </c>
      <c r="B53" s="1" t="s">
        <v>45</v>
      </c>
      <c r="C53" s="1" t="s">
        <v>51</v>
      </c>
      <c r="D53" s="1"/>
      <c r="E53" s="1"/>
    </row>
    <row r="54" spans="1:5" x14ac:dyDescent="0.2">
      <c r="A54" t="s">
        <v>73</v>
      </c>
      <c r="B54" s="1" t="s">
        <v>43</v>
      </c>
      <c r="C54" s="1"/>
      <c r="D54" s="1"/>
      <c r="E54" s="1"/>
    </row>
    <row r="55" spans="1:5" x14ac:dyDescent="0.2">
      <c r="A55" t="s">
        <v>74</v>
      </c>
      <c r="B55" s="1" t="s">
        <v>44</v>
      </c>
      <c r="C55" s="1"/>
      <c r="D55" s="1"/>
      <c r="E55" s="1"/>
    </row>
    <row r="56" spans="1:5" x14ac:dyDescent="0.2">
      <c r="A56" t="s">
        <v>75</v>
      </c>
      <c r="B56" s="1" t="s">
        <v>44</v>
      </c>
      <c r="C56" s="1"/>
      <c r="D56" s="1"/>
      <c r="E56" s="1"/>
    </row>
    <row r="57" spans="1:5" x14ac:dyDescent="0.2">
      <c r="A57" t="s">
        <v>76</v>
      </c>
      <c r="B57" s="1" t="s">
        <v>44</v>
      </c>
      <c r="C57" s="1"/>
      <c r="D57" s="1"/>
      <c r="E57" s="1"/>
    </row>
    <row r="58" spans="1:5" x14ac:dyDescent="0.2">
      <c r="B58" s="1"/>
      <c r="C58" s="1"/>
      <c r="D58" s="1"/>
      <c r="E58" s="1"/>
    </row>
    <row r="59" spans="1:5" x14ac:dyDescent="0.2">
      <c r="A59" s="3" t="s">
        <v>77</v>
      </c>
      <c r="B59" s="1"/>
      <c r="C59" s="1"/>
      <c r="D59" s="1"/>
      <c r="E59" s="1"/>
    </row>
    <row r="60" spans="1:5" x14ac:dyDescent="0.2">
      <c r="A60" t="s">
        <v>78</v>
      </c>
      <c r="B60" s="1" t="s">
        <v>43</v>
      </c>
      <c r="C60" s="1"/>
      <c r="D60" s="1"/>
      <c r="E60" s="1"/>
    </row>
    <row r="61" spans="1:5" x14ac:dyDescent="0.2">
      <c r="A61" t="s">
        <v>79</v>
      </c>
      <c r="B61" s="1" t="s">
        <v>56</v>
      </c>
      <c r="C61" s="1" t="s">
        <v>64</v>
      </c>
      <c r="D61" s="1"/>
      <c r="E61" s="1"/>
    </row>
    <row r="62" spans="1:5" x14ac:dyDescent="0.2">
      <c r="B62" s="1"/>
      <c r="C62" s="1"/>
      <c r="D62" s="1"/>
      <c r="E62" s="1"/>
    </row>
    <row r="63" spans="1:5" x14ac:dyDescent="0.2">
      <c r="B63" s="1"/>
      <c r="C63" s="1"/>
      <c r="D63" s="1"/>
      <c r="E63" s="1"/>
    </row>
    <row r="64" spans="1:5" x14ac:dyDescent="0.2">
      <c r="B64" s="1"/>
      <c r="C64" s="1"/>
      <c r="D64" s="1"/>
      <c r="E64" s="1"/>
    </row>
    <row r="65" spans="2:5" x14ac:dyDescent="0.2">
      <c r="B65" s="1"/>
      <c r="C65" s="1"/>
      <c r="D65" s="1"/>
      <c r="E65" s="1"/>
    </row>
    <row r="66" spans="2:5" x14ac:dyDescent="0.2">
      <c r="B66" s="1"/>
      <c r="C66" s="1"/>
      <c r="D66" s="1"/>
      <c r="E66" s="1"/>
    </row>
    <row r="67" spans="2:5" x14ac:dyDescent="0.2">
      <c r="B67" s="1"/>
      <c r="C67" s="1"/>
      <c r="D67" s="1"/>
      <c r="E67" s="1"/>
    </row>
    <row r="68" spans="2:5" x14ac:dyDescent="0.2">
      <c r="B68" s="1"/>
      <c r="C68" s="1"/>
      <c r="D68" s="1"/>
      <c r="E68" s="1"/>
    </row>
    <row r="69" spans="2:5" x14ac:dyDescent="0.2">
      <c r="B69" s="1"/>
      <c r="C69" s="1"/>
      <c r="D69" s="1"/>
      <c r="E69" s="1"/>
    </row>
    <row r="70" spans="2:5" x14ac:dyDescent="0.2">
      <c r="B70" s="1"/>
      <c r="C70" s="1"/>
      <c r="D70" s="1"/>
      <c r="E70" s="1"/>
    </row>
    <row r="71" spans="2:5" x14ac:dyDescent="0.2">
      <c r="B71" s="1"/>
      <c r="C71" s="1"/>
      <c r="D71" s="1"/>
      <c r="E71" s="1"/>
    </row>
    <row r="72" spans="2:5" x14ac:dyDescent="0.2">
      <c r="B72" s="1"/>
      <c r="C72" s="1"/>
      <c r="D72" s="1"/>
      <c r="E72" s="1"/>
    </row>
    <row r="73" spans="2:5" x14ac:dyDescent="0.2">
      <c r="B73" s="1"/>
      <c r="C73" s="1"/>
      <c r="D73" s="1"/>
      <c r="E73" s="1"/>
    </row>
    <row r="74" spans="2:5" x14ac:dyDescent="0.2">
      <c r="B74" s="1"/>
      <c r="C74" s="1"/>
      <c r="D74" s="1"/>
      <c r="E74" s="1"/>
    </row>
    <row r="75" spans="2:5" x14ac:dyDescent="0.2">
      <c r="B75" s="1"/>
      <c r="C75" s="1"/>
      <c r="D75" s="1"/>
      <c r="E75" s="1"/>
    </row>
    <row r="76" spans="2:5" x14ac:dyDescent="0.2">
      <c r="B76" s="1"/>
      <c r="C76" s="1"/>
      <c r="D76" s="1"/>
      <c r="E76" s="1"/>
    </row>
    <row r="77" spans="2:5" x14ac:dyDescent="0.2">
      <c r="B77" s="1"/>
      <c r="C77" s="1"/>
      <c r="D77" s="1"/>
      <c r="E77" s="1"/>
    </row>
    <row r="78" spans="2:5" x14ac:dyDescent="0.2">
      <c r="B78" s="1"/>
      <c r="C78" s="1"/>
      <c r="D78" s="1"/>
      <c r="E78" s="1"/>
    </row>
    <row r="79" spans="2:5" x14ac:dyDescent="0.2">
      <c r="B79" s="1"/>
      <c r="C79" s="1"/>
      <c r="D79" s="1"/>
      <c r="E79" s="1"/>
    </row>
    <row r="80" spans="2:5" x14ac:dyDescent="0.2">
      <c r="B80" s="1"/>
      <c r="C80" s="1"/>
      <c r="D80" s="1"/>
      <c r="E80" s="1"/>
    </row>
    <row r="81" spans="2:5" x14ac:dyDescent="0.2">
      <c r="B81" s="1"/>
      <c r="C81" s="1"/>
      <c r="D81" s="1"/>
      <c r="E81" s="1"/>
    </row>
    <row r="82" spans="2:5" x14ac:dyDescent="0.2">
      <c r="B82" s="1"/>
      <c r="C82" s="1"/>
      <c r="D82" s="1"/>
      <c r="E82" s="1"/>
    </row>
    <row r="83" spans="2:5" x14ac:dyDescent="0.2">
      <c r="B83" s="1"/>
      <c r="C83" s="1"/>
      <c r="D83" s="1"/>
      <c r="E83" s="1"/>
    </row>
    <row r="84" spans="2:5" x14ac:dyDescent="0.2">
      <c r="B84" s="1"/>
      <c r="C84" s="1"/>
      <c r="D84" s="1"/>
      <c r="E84" s="1"/>
    </row>
    <row r="85" spans="2:5" x14ac:dyDescent="0.2">
      <c r="B85" s="1"/>
      <c r="C85" s="1"/>
      <c r="D85" s="1"/>
      <c r="E85" s="1"/>
    </row>
    <row r="86" spans="2:5" x14ac:dyDescent="0.2">
      <c r="B86" s="1"/>
      <c r="C86" s="1"/>
      <c r="D86" s="1"/>
      <c r="E86" s="1"/>
    </row>
    <row r="87" spans="2:5" x14ac:dyDescent="0.2">
      <c r="B87" s="1"/>
      <c r="C87" s="1"/>
      <c r="D87" s="1"/>
      <c r="E87" s="1"/>
    </row>
    <row r="88" spans="2:5" x14ac:dyDescent="0.2">
      <c r="B88" s="1"/>
      <c r="C88" s="1"/>
      <c r="D88" s="1"/>
      <c r="E88" s="1"/>
    </row>
    <row r="89" spans="2:5" x14ac:dyDescent="0.2">
      <c r="B89" s="1"/>
      <c r="C89" s="1"/>
      <c r="D89" s="1"/>
      <c r="E89" s="1"/>
    </row>
    <row r="90" spans="2:5" x14ac:dyDescent="0.2">
      <c r="B90" s="1"/>
      <c r="C90" s="1"/>
      <c r="D90" s="1"/>
      <c r="E90" s="1"/>
    </row>
    <row r="91" spans="2:5" x14ac:dyDescent="0.2">
      <c r="B91" s="1"/>
      <c r="C91" s="1"/>
      <c r="D91" s="1"/>
      <c r="E91" s="1"/>
    </row>
    <row r="92" spans="2:5" x14ac:dyDescent="0.2">
      <c r="B92" s="1"/>
      <c r="C92" s="1"/>
      <c r="D92" s="1"/>
      <c r="E92" s="1"/>
    </row>
    <row r="93" spans="2:5" x14ac:dyDescent="0.2">
      <c r="B93" s="1"/>
      <c r="C93" s="1"/>
      <c r="D93" s="1"/>
      <c r="E93" s="1"/>
    </row>
    <row r="94" spans="2:5" x14ac:dyDescent="0.2">
      <c r="B94" s="1"/>
      <c r="C94" s="1"/>
      <c r="D94" s="1"/>
      <c r="E94" s="1"/>
    </row>
    <row r="95" spans="2:5" x14ac:dyDescent="0.2">
      <c r="B95" s="1"/>
      <c r="C95" s="1"/>
      <c r="D95" s="1"/>
      <c r="E95" s="1"/>
    </row>
    <row r="96" spans="2:5" x14ac:dyDescent="0.2">
      <c r="B96" s="1"/>
      <c r="C96" s="1"/>
      <c r="D96" s="1"/>
      <c r="E96" s="1"/>
    </row>
    <row r="97" spans="2:5" x14ac:dyDescent="0.2">
      <c r="B97" s="1"/>
      <c r="C97" s="1"/>
      <c r="D97" s="1"/>
      <c r="E97" s="1"/>
    </row>
    <row r="98" spans="2:5" x14ac:dyDescent="0.2">
      <c r="B98" s="1"/>
      <c r="C98" s="1"/>
      <c r="D98" s="1"/>
      <c r="E98" s="1"/>
    </row>
    <row r="99" spans="2:5" x14ac:dyDescent="0.2">
      <c r="B99" s="1"/>
      <c r="C99" s="1"/>
      <c r="D99" s="1"/>
      <c r="E99" s="1"/>
    </row>
    <row r="100" spans="2:5" x14ac:dyDescent="0.2">
      <c r="B100" s="1"/>
      <c r="C100" s="1"/>
      <c r="D100" s="1"/>
      <c r="E100" s="1"/>
    </row>
    <row r="101" spans="2:5" x14ac:dyDescent="0.2">
      <c r="B101" s="1"/>
      <c r="C101" s="1"/>
      <c r="D101" s="1"/>
      <c r="E101" s="1"/>
    </row>
    <row r="102" spans="2:5" x14ac:dyDescent="0.2">
      <c r="B102" s="1"/>
      <c r="C102" s="1"/>
      <c r="D102" s="1"/>
      <c r="E102" s="1"/>
    </row>
    <row r="103" spans="2:5" x14ac:dyDescent="0.2">
      <c r="B103" s="1"/>
      <c r="C103" s="1"/>
      <c r="D103" s="1"/>
      <c r="E103" s="1"/>
    </row>
    <row r="104" spans="2:5" x14ac:dyDescent="0.2">
      <c r="B104" s="1"/>
      <c r="C104" s="1"/>
      <c r="D104" s="1"/>
      <c r="E104" s="1"/>
    </row>
    <row r="105" spans="2:5" x14ac:dyDescent="0.2">
      <c r="B105" s="1"/>
      <c r="C105" s="1"/>
      <c r="D105" s="1"/>
      <c r="E105" s="1"/>
    </row>
    <row r="106" spans="2:5" x14ac:dyDescent="0.2">
      <c r="B106" s="1"/>
      <c r="C106" s="1"/>
      <c r="D106" s="1"/>
      <c r="E106" s="1"/>
    </row>
    <row r="107" spans="2:5" x14ac:dyDescent="0.2">
      <c r="B107" s="1"/>
      <c r="C107" s="1"/>
      <c r="D107" s="1"/>
      <c r="E107" s="1"/>
    </row>
    <row r="108" spans="2:5" x14ac:dyDescent="0.2">
      <c r="B108" s="1"/>
      <c r="C108" s="1"/>
      <c r="D108" s="1"/>
      <c r="E108" s="1"/>
    </row>
    <row r="109" spans="2:5" x14ac:dyDescent="0.2">
      <c r="B109" s="1"/>
      <c r="C109" s="1"/>
      <c r="D109" s="1"/>
      <c r="E109" s="1"/>
    </row>
    <row r="110" spans="2:5" x14ac:dyDescent="0.2">
      <c r="B110" s="1"/>
      <c r="C110" s="1"/>
      <c r="D110" s="1"/>
      <c r="E110" s="1"/>
    </row>
    <row r="111" spans="2:5" x14ac:dyDescent="0.2">
      <c r="B111" s="1"/>
      <c r="C111" s="1"/>
      <c r="D111" s="1"/>
      <c r="E111" s="1"/>
    </row>
    <row r="112" spans="2:5" x14ac:dyDescent="0.2">
      <c r="B112" s="1"/>
      <c r="C112" s="1"/>
      <c r="D112" s="1"/>
      <c r="E112" s="1"/>
    </row>
    <row r="113" spans="2:5" x14ac:dyDescent="0.2">
      <c r="B113" s="1"/>
      <c r="C113" s="1"/>
      <c r="D113" s="1"/>
      <c r="E113" s="1"/>
    </row>
    <row r="114" spans="2:5" x14ac:dyDescent="0.2">
      <c r="B114" s="1"/>
      <c r="C114" s="1"/>
      <c r="D114" s="1"/>
      <c r="E114" s="1"/>
    </row>
    <row r="115" spans="2:5" x14ac:dyDescent="0.2">
      <c r="B115" s="1"/>
      <c r="C115" s="1"/>
      <c r="D115" s="1"/>
      <c r="E115" s="1"/>
    </row>
    <row r="116" spans="2:5" x14ac:dyDescent="0.2">
      <c r="B116" s="1"/>
      <c r="C116" s="1"/>
      <c r="D116" s="1"/>
      <c r="E116" s="1"/>
    </row>
    <row r="117" spans="2:5" x14ac:dyDescent="0.2">
      <c r="B117" s="1"/>
      <c r="C117" s="1"/>
      <c r="D117" s="1"/>
      <c r="E117" s="1"/>
    </row>
    <row r="118" spans="2:5" x14ac:dyDescent="0.2">
      <c r="B118" s="1"/>
      <c r="C118" s="1"/>
      <c r="D118" s="1"/>
      <c r="E118" s="1"/>
    </row>
    <row r="119" spans="2:5" x14ac:dyDescent="0.2">
      <c r="B119" s="1"/>
      <c r="C119" s="1"/>
      <c r="D119" s="1"/>
      <c r="E119" s="1"/>
    </row>
    <row r="120" spans="2:5" x14ac:dyDescent="0.2">
      <c r="B120" s="1"/>
      <c r="C120" s="1"/>
      <c r="D120" s="1"/>
      <c r="E120" s="1"/>
    </row>
    <row r="121" spans="2:5" x14ac:dyDescent="0.2">
      <c r="B121" s="1"/>
      <c r="C121" s="1"/>
      <c r="D121" s="1"/>
      <c r="E121" s="1"/>
    </row>
    <row r="122" spans="2:5" x14ac:dyDescent="0.2">
      <c r="B122" s="1"/>
      <c r="C122" s="1"/>
      <c r="D122" s="1"/>
      <c r="E122" s="1"/>
    </row>
    <row r="123" spans="2:5" x14ac:dyDescent="0.2">
      <c r="B123" s="1"/>
      <c r="C123" s="1"/>
      <c r="D123" s="1"/>
      <c r="E123" s="1"/>
    </row>
    <row r="124" spans="2:5" x14ac:dyDescent="0.2">
      <c r="B124" s="1"/>
      <c r="C124" s="1"/>
      <c r="D124" s="1"/>
      <c r="E124" s="1"/>
    </row>
    <row r="125" spans="2:5" x14ac:dyDescent="0.2">
      <c r="B125" s="1"/>
      <c r="C125" s="1"/>
      <c r="D125" s="1"/>
      <c r="E125" s="1"/>
    </row>
    <row r="126" spans="2:5" x14ac:dyDescent="0.2">
      <c r="B126" s="1"/>
      <c r="C126" s="1"/>
      <c r="D126" s="1"/>
      <c r="E126" s="1"/>
    </row>
    <row r="127" spans="2:5" x14ac:dyDescent="0.2">
      <c r="B127" s="1"/>
      <c r="C127" s="1"/>
      <c r="D127" s="1"/>
      <c r="E127" s="1"/>
    </row>
    <row r="128" spans="2:5" x14ac:dyDescent="0.2">
      <c r="B128" s="1"/>
      <c r="C128" s="1"/>
      <c r="D128" s="1"/>
      <c r="E128" s="1"/>
    </row>
    <row r="129" spans="2:5" x14ac:dyDescent="0.2">
      <c r="B129" s="1"/>
      <c r="C129" s="1"/>
      <c r="D129" s="1"/>
      <c r="E129" s="1"/>
    </row>
    <row r="130" spans="2:5" x14ac:dyDescent="0.2">
      <c r="B130" s="1"/>
      <c r="C130" s="1"/>
      <c r="D130" s="1"/>
      <c r="E130" s="1"/>
    </row>
    <row r="131" spans="2:5" x14ac:dyDescent="0.2">
      <c r="B131" s="1"/>
      <c r="C131" s="1"/>
      <c r="D131" s="1"/>
      <c r="E131" s="1"/>
    </row>
    <row r="132" spans="2:5" x14ac:dyDescent="0.2">
      <c r="B132" s="1"/>
      <c r="C132" s="1"/>
      <c r="D132" s="1"/>
      <c r="E132" s="1"/>
    </row>
    <row r="133" spans="2:5" x14ac:dyDescent="0.2">
      <c r="B133" s="1"/>
      <c r="C133" s="1"/>
      <c r="D133" s="1"/>
      <c r="E133" s="1"/>
    </row>
    <row r="134" spans="2:5" x14ac:dyDescent="0.2">
      <c r="B134" s="1"/>
      <c r="C134" s="1"/>
      <c r="D134" s="1"/>
      <c r="E134" s="1"/>
    </row>
    <row r="135" spans="2:5" x14ac:dyDescent="0.2">
      <c r="B135" s="1"/>
      <c r="C135" s="1"/>
      <c r="D135" s="1"/>
      <c r="E135" s="1"/>
    </row>
    <row r="136" spans="2:5" x14ac:dyDescent="0.2">
      <c r="B136" s="1"/>
      <c r="C136" s="1"/>
      <c r="D136" s="1"/>
      <c r="E136" s="1"/>
    </row>
    <row r="137" spans="2:5" x14ac:dyDescent="0.2">
      <c r="B137" s="1"/>
      <c r="C137" s="1"/>
      <c r="D137" s="1"/>
      <c r="E137" s="1"/>
    </row>
    <row r="138" spans="2:5" x14ac:dyDescent="0.2">
      <c r="B138" s="1"/>
      <c r="C138" s="1"/>
      <c r="D138" s="1"/>
      <c r="E138" s="1"/>
    </row>
    <row r="139" spans="2:5" x14ac:dyDescent="0.2">
      <c r="B139" s="1"/>
      <c r="C139" s="1"/>
      <c r="D139" s="1"/>
      <c r="E139" s="1"/>
    </row>
    <row r="140" spans="2:5" x14ac:dyDescent="0.2">
      <c r="B140" s="1"/>
      <c r="C140" s="1"/>
      <c r="D140" s="1"/>
      <c r="E140" s="1"/>
    </row>
    <row r="141" spans="2:5" x14ac:dyDescent="0.2">
      <c r="B141" s="1"/>
      <c r="C141" s="1"/>
      <c r="D141" s="1"/>
      <c r="E141" s="1"/>
    </row>
    <row r="142" spans="2:5" x14ac:dyDescent="0.2">
      <c r="B142" s="1"/>
      <c r="C142" s="1"/>
      <c r="D142" s="1"/>
      <c r="E142" s="1"/>
    </row>
    <row r="143" spans="2:5" x14ac:dyDescent="0.2">
      <c r="B143" s="1"/>
      <c r="C143" s="1"/>
      <c r="D143" s="1"/>
      <c r="E143" s="1"/>
    </row>
    <row r="144" spans="2:5" x14ac:dyDescent="0.2">
      <c r="B144" s="1"/>
      <c r="C144" s="1"/>
      <c r="D144" s="1"/>
      <c r="E144" s="1"/>
    </row>
    <row r="145" spans="2:5" x14ac:dyDescent="0.2">
      <c r="B145" s="1"/>
      <c r="C145" s="1"/>
      <c r="D145" s="1"/>
      <c r="E145" s="1"/>
    </row>
    <row r="146" spans="2:5" x14ac:dyDescent="0.2">
      <c r="B146" s="1"/>
      <c r="C146" s="1"/>
      <c r="D146" s="1"/>
      <c r="E146" s="1"/>
    </row>
    <row r="147" spans="2:5" x14ac:dyDescent="0.2">
      <c r="B147" s="1"/>
      <c r="C147" s="1"/>
      <c r="D147" s="1"/>
      <c r="E147" s="1"/>
    </row>
    <row r="148" spans="2:5" x14ac:dyDescent="0.2">
      <c r="B148" s="1"/>
      <c r="C148" s="1"/>
      <c r="D148" s="1"/>
      <c r="E148" s="1"/>
    </row>
    <row r="149" spans="2:5" x14ac:dyDescent="0.2">
      <c r="B149" s="1"/>
      <c r="C149" s="1"/>
      <c r="D149" s="1"/>
      <c r="E149" s="1"/>
    </row>
    <row r="150" spans="2:5" x14ac:dyDescent="0.2">
      <c r="B150" s="1"/>
      <c r="C150" s="1"/>
      <c r="D150" s="1"/>
      <c r="E150" s="1"/>
    </row>
    <row r="151" spans="2:5" x14ac:dyDescent="0.2">
      <c r="B151" s="1"/>
      <c r="C151" s="1"/>
      <c r="D151" s="1"/>
      <c r="E151" s="1"/>
    </row>
    <row r="152" spans="2:5" x14ac:dyDescent="0.2">
      <c r="B152" s="1"/>
      <c r="C152" s="1"/>
      <c r="D152" s="1"/>
      <c r="E152" s="1"/>
    </row>
    <row r="153" spans="2:5" x14ac:dyDescent="0.2">
      <c r="B153" s="1"/>
      <c r="C153" s="1"/>
      <c r="D153" s="1"/>
      <c r="E153" s="1"/>
    </row>
    <row r="154" spans="2:5" x14ac:dyDescent="0.2">
      <c r="B154" s="1"/>
      <c r="C154" s="1"/>
      <c r="D154" s="1"/>
      <c r="E154" s="1"/>
    </row>
    <row r="155" spans="2:5" x14ac:dyDescent="0.2">
      <c r="B155" s="1"/>
      <c r="C155" s="1"/>
      <c r="D155" s="1"/>
      <c r="E155" s="1"/>
    </row>
    <row r="156" spans="2:5" x14ac:dyDescent="0.2">
      <c r="B156" s="1"/>
      <c r="C156" s="1"/>
      <c r="D156" s="1"/>
      <c r="E156" s="1"/>
    </row>
    <row r="157" spans="2:5" x14ac:dyDescent="0.2">
      <c r="B157" s="1"/>
      <c r="C157" s="1"/>
      <c r="D157" s="1"/>
      <c r="E157" s="1"/>
    </row>
    <row r="158" spans="2:5" x14ac:dyDescent="0.2">
      <c r="B158" s="1"/>
      <c r="C158" s="1"/>
      <c r="D158" s="1"/>
      <c r="E158" s="1"/>
    </row>
    <row r="159" spans="2:5" x14ac:dyDescent="0.2">
      <c r="B159" s="1"/>
      <c r="C159" s="1"/>
      <c r="D159" s="1"/>
      <c r="E159" s="1"/>
    </row>
    <row r="160" spans="2:5" x14ac:dyDescent="0.2">
      <c r="B160" s="1"/>
      <c r="C160" s="1"/>
      <c r="D160" s="1"/>
      <c r="E160" s="1"/>
    </row>
    <row r="161" spans="2:5" x14ac:dyDescent="0.2">
      <c r="B161" s="1"/>
      <c r="C161" s="1"/>
      <c r="D161" s="1"/>
      <c r="E161" s="1"/>
    </row>
    <row r="162" spans="2:5" x14ac:dyDescent="0.2">
      <c r="B162" s="1"/>
      <c r="C162" s="1"/>
      <c r="D162" s="1"/>
      <c r="E162" s="1"/>
    </row>
    <row r="163" spans="2:5" x14ac:dyDescent="0.2">
      <c r="B163" s="1"/>
      <c r="C163" s="1"/>
      <c r="D163" s="1"/>
      <c r="E163" s="1"/>
    </row>
    <row r="164" spans="2:5" x14ac:dyDescent="0.2">
      <c r="B164" s="1"/>
      <c r="C164" s="1"/>
      <c r="D164" s="1"/>
      <c r="E164" s="1"/>
    </row>
    <row r="165" spans="2:5" x14ac:dyDescent="0.2">
      <c r="B165" s="1"/>
      <c r="C165" s="1"/>
      <c r="D165" s="1"/>
      <c r="E165" s="1"/>
    </row>
    <row r="166" spans="2:5" x14ac:dyDescent="0.2">
      <c r="B166" s="1"/>
      <c r="C166" s="1"/>
      <c r="D166" s="1"/>
      <c r="E166" s="1"/>
    </row>
    <row r="167" spans="2:5" x14ac:dyDescent="0.2">
      <c r="B167" s="1"/>
      <c r="C167" s="1"/>
      <c r="D167" s="1"/>
      <c r="E167" s="1"/>
    </row>
    <row r="168" spans="2:5" x14ac:dyDescent="0.2">
      <c r="B168" s="1"/>
      <c r="C168" s="1"/>
      <c r="D168" s="1"/>
      <c r="E168" s="1"/>
    </row>
    <row r="169" spans="2:5" x14ac:dyDescent="0.2">
      <c r="B169" s="1"/>
      <c r="C169" s="1"/>
      <c r="D169" s="1"/>
      <c r="E169" s="1"/>
    </row>
    <row r="170" spans="2:5" x14ac:dyDescent="0.2">
      <c r="B170" s="1"/>
      <c r="C170" s="1"/>
      <c r="D170" s="1"/>
      <c r="E170" s="1"/>
    </row>
    <row r="171" spans="2:5" x14ac:dyDescent="0.2">
      <c r="B171" s="1"/>
      <c r="C171" s="1"/>
      <c r="D171" s="1"/>
      <c r="E171" s="1"/>
    </row>
    <row r="172" spans="2:5" x14ac:dyDescent="0.2">
      <c r="B172" s="1"/>
      <c r="C172" s="1"/>
      <c r="D172" s="1"/>
      <c r="E172" s="1"/>
    </row>
    <row r="173" spans="2:5" x14ac:dyDescent="0.2">
      <c r="B173" s="1"/>
      <c r="C173" s="1"/>
      <c r="D173" s="1"/>
      <c r="E173" s="1"/>
    </row>
    <row r="174" spans="2:5" x14ac:dyDescent="0.2">
      <c r="B174" s="1"/>
      <c r="C174" s="1"/>
      <c r="D174" s="1"/>
      <c r="E174" s="1"/>
    </row>
    <row r="175" spans="2:5" x14ac:dyDescent="0.2">
      <c r="B175" s="1"/>
      <c r="C175" s="1"/>
      <c r="D175" s="1"/>
      <c r="E175" s="1"/>
    </row>
    <row r="176" spans="2:5" x14ac:dyDescent="0.2">
      <c r="B176" s="1"/>
      <c r="C176" s="1"/>
      <c r="D176" s="1"/>
      <c r="E176" s="1"/>
    </row>
    <row r="177" spans="2:5" x14ac:dyDescent="0.2">
      <c r="B177" s="1"/>
      <c r="C177" s="1"/>
      <c r="D177" s="1"/>
      <c r="E177" s="1"/>
    </row>
    <row r="178" spans="2:5" x14ac:dyDescent="0.2">
      <c r="B178" s="1"/>
      <c r="C178" s="1"/>
      <c r="D178" s="1"/>
      <c r="E178" s="1"/>
    </row>
    <row r="179" spans="2:5" x14ac:dyDescent="0.2">
      <c r="B179" s="1"/>
      <c r="C179" s="1"/>
      <c r="D179" s="1"/>
      <c r="E179" s="1"/>
    </row>
    <row r="180" spans="2:5" x14ac:dyDescent="0.2">
      <c r="B180" s="1"/>
      <c r="C180" s="1"/>
      <c r="D180" s="1"/>
      <c r="E180" s="1"/>
    </row>
    <row r="181" spans="2:5" x14ac:dyDescent="0.2">
      <c r="B181" s="1"/>
      <c r="C181" s="1"/>
      <c r="D181" s="1"/>
      <c r="E181" s="1"/>
    </row>
    <row r="182" spans="2:5" x14ac:dyDescent="0.2">
      <c r="B182" s="1"/>
      <c r="C182" s="1"/>
      <c r="D182" s="1"/>
      <c r="E182" s="1"/>
    </row>
    <row r="183" spans="2:5" x14ac:dyDescent="0.2">
      <c r="B183" s="1"/>
      <c r="C183" s="1"/>
      <c r="D183" s="1"/>
      <c r="E183" s="1"/>
    </row>
    <row r="184" spans="2:5" x14ac:dyDescent="0.2">
      <c r="B184" s="1"/>
      <c r="C184" s="1"/>
      <c r="D184" s="1"/>
      <c r="E184" s="1"/>
    </row>
    <row r="185" spans="2:5" x14ac:dyDescent="0.2">
      <c r="B185" s="1"/>
      <c r="C185" s="1"/>
      <c r="D185" s="1"/>
      <c r="E185" s="1"/>
    </row>
    <row r="186" spans="2:5" x14ac:dyDescent="0.2">
      <c r="B186" s="1"/>
      <c r="C186" s="1"/>
      <c r="D186" s="1"/>
      <c r="E186" s="1"/>
    </row>
    <row r="187" spans="2:5" x14ac:dyDescent="0.2">
      <c r="B187" s="1"/>
      <c r="C187" s="1"/>
      <c r="D187" s="1"/>
      <c r="E187" s="1"/>
    </row>
    <row r="188" spans="2:5" x14ac:dyDescent="0.2">
      <c r="B188" s="1"/>
      <c r="C188" s="1"/>
      <c r="D188" s="1"/>
      <c r="E188" s="1"/>
    </row>
    <row r="189" spans="2:5" x14ac:dyDescent="0.2">
      <c r="B189" s="1"/>
      <c r="C189" s="1"/>
      <c r="D189" s="1"/>
      <c r="E189" s="1"/>
    </row>
    <row r="190" spans="2:5" x14ac:dyDescent="0.2">
      <c r="B190" s="1"/>
      <c r="C190" s="1"/>
      <c r="D190" s="1"/>
      <c r="E190" s="1"/>
    </row>
    <row r="191" spans="2:5" x14ac:dyDescent="0.2">
      <c r="B191" s="1"/>
      <c r="C191" s="1"/>
      <c r="D191" s="1"/>
      <c r="E191" s="1"/>
    </row>
    <row r="192" spans="2:5" x14ac:dyDescent="0.2">
      <c r="B192" s="1"/>
      <c r="C192" s="1"/>
      <c r="D192" s="1"/>
      <c r="E192" s="1"/>
    </row>
    <row r="193" spans="2:5" x14ac:dyDescent="0.2">
      <c r="B193" s="1"/>
      <c r="C193" s="1"/>
      <c r="D193" s="1"/>
      <c r="E193" s="1"/>
    </row>
    <row r="194" spans="2:5" x14ac:dyDescent="0.2">
      <c r="B194" s="1"/>
      <c r="C194" s="1"/>
      <c r="D194" s="1"/>
      <c r="E194" s="1"/>
    </row>
    <row r="195" spans="2:5" x14ac:dyDescent="0.2">
      <c r="B195" s="1"/>
      <c r="C195" s="1"/>
      <c r="D195" s="1"/>
      <c r="E195" s="1"/>
    </row>
    <row r="196" spans="2:5" x14ac:dyDescent="0.2">
      <c r="B196" s="1"/>
      <c r="C196" s="1"/>
      <c r="D196" s="1"/>
      <c r="E196" s="1"/>
    </row>
    <row r="197" spans="2:5" x14ac:dyDescent="0.2">
      <c r="B197" s="1"/>
      <c r="C197" s="1"/>
      <c r="D197" s="1"/>
      <c r="E197" s="1"/>
    </row>
    <row r="198" spans="2:5" x14ac:dyDescent="0.2">
      <c r="B198" s="1"/>
      <c r="C198" s="1"/>
      <c r="D198" s="1"/>
      <c r="E198" s="1"/>
    </row>
    <row r="199" spans="2:5" x14ac:dyDescent="0.2">
      <c r="B199" s="1"/>
      <c r="C199" s="1"/>
      <c r="D199" s="1"/>
      <c r="E199" s="1"/>
    </row>
    <row r="200" spans="2:5" x14ac:dyDescent="0.2">
      <c r="B200" s="1"/>
      <c r="C200" s="1"/>
      <c r="D200" s="1"/>
      <c r="E200" s="1"/>
    </row>
    <row r="201" spans="2:5" x14ac:dyDescent="0.2">
      <c r="B201" s="1"/>
      <c r="C201" s="1"/>
      <c r="D201" s="1"/>
      <c r="E201" s="1"/>
    </row>
    <row r="202" spans="2:5" x14ac:dyDescent="0.2">
      <c r="B202" s="1"/>
      <c r="C202" s="1"/>
      <c r="D202" s="1"/>
      <c r="E202" s="1"/>
    </row>
    <row r="203" spans="2:5" x14ac:dyDescent="0.2">
      <c r="B203" s="1"/>
      <c r="C203" s="1"/>
      <c r="D203" s="1"/>
      <c r="E203" s="1"/>
    </row>
    <row r="204" spans="2:5" x14ac:dyDescent="0.2">
      <c r="B204" s="1"/>
      <c r="C204" s="1"/>
      <c r="D204" s="1"/>
      <c r="E204" s="1"/>
    </row>
    <row r="205" spans="2:5" x14ac:dyDescent="0.2">
      <c r="B205" s="1"/>
      <c r="C205" s="1"/>
      <c r="D205" s="1"/>
      <c r="E205" s="1"/>
    </row>
    <row r="206" spans="2:5" x14ac:dyDescent="0.2">
      <c r="B206" s="1"/>
      <c r="C206" s="1"/>
      <c r="D206" s="1"/>
      <c r="E206" s="1"/>
    </row>
    <row r="207" spans="2:5" x14ac:dyDescent="0.2">
      <c r="B207" s="1"/>
      <c r="C207" s="1"/>
      <c r="D207" s="1"/>
      <c r="E207" s="1"/>
    </row>
    <row r="208" spans="2:5" x14ac:dyDescent="0.2">
      <c r="B208" s="1"/>
      <c r="C208" s="1"/>
      <c r="D208" s="1"/>
      <c r="E208" s="1"/>
    </row>
    <row r="209" spans="2:5" x14ac:dyDescent="0.2">
      <c r="B209" s="1"/>
      <c r="C209" s="1"/>
      <c r="D209" s="1"/>
      <c r="E209" s="1"/>
    </row>
    <row r="210" spans="2:5" x14ac:dyDescent="0.2">
      <c r="B210" s="1"/>
      <c r="C210" s="1"/>
      <c r="D210" s="1"/>
      <c r="E210" s="1"/>
    </row>
    <row r="211" spans="2:5" x14ac:dyDescent="0.2">
      <c r="B211" s="1"/>
      <c r="C211" s="1"/>
      <c r="D211" s="1"/>
      <c r="E211" s="1"/>
    </row>
    <row r="212" spans="2:5" x14ac:dyDescent="0.2">
      <c r="B212" s="1"/>
      <c r="C212" s="1"/>
      <c r="D212" s="1"/>
      <c r="E212" s="1"/>
    </row>
    <row r="213" spans="2:5" x14ac:dyDescent="0.2">
      <c r="B213" s="1"/>
      <c r="C213" s="1"/>
      <c r="D213" s="1"/>
      <c r="E213" s="1"/>
    </row>
    <row r="214" spans="2:5" x14ac:dyDescent="0.2">
      <c r="B214" s="1"/>
      <c r="C214" s="1"/>
      <c r="D214" s="1"/>
      <c r="E214" s="1"/>
    </row>
    <row r="215" spans="2:5" x14ac:dyDescent="0.2">
      <c r="B215" s="1"/>
      <c r="C215" s="1"/>
      <c r="D215" s="1"/>
      <c r="E215" s="1"/>
    </row>
    <row r="216" spans="2:5" x14ac:dyDescent="0.2">
      <c r="B216" s="1"/>
      <c r="C216" s="1"/>
      <c r="D216" s="1"/>
      <c r="E216" s="1"/>
    </row>
    <row r="217" spans="2:5" x14ac:dyDescent="0.2">
      <c r="B217" s="1"/>
      <c r="C217" s="1"/>
      <c r="D217" s="1"/>
      <c r="E217" s="1"/>
    </row>
    <row r="218" spans="2:5" x14ac:dyDescent="0.2">
      <c r="B218" s="1"/>
      <c r="C218" s="1"/>
      <c r="D218" s="1"/>
      <c r="E218" s="1"/>
    </row>
    <row r="219" spans="2:5" x14ac:dyDescent="0.2">
      <c r="B219" s="1"/>
      <c r="C219" s="1"/>
      <c r="D219" s="1"/>
      <c r="E219" s="1"/>
    </row>
    <row r="220" spans="2:5" x14ac:dyDescent="0.2">
      <c r="B220" s="1"/>
      <c r="C220" s="1"/>
      <c r="D220" s="1"/>
      <c r="E220" s="1"/>
    </row>
    <row r="221" spans="2:5" x14ac:dyDescent="0.2">
      <c r="B221" s="1"/>
      <c r="C221" s="1"/>
      <c r="D221" s="1"/>
      <c r="E221" s="1"/>
    </row>
    <row r="222" spans="2:5" x14ac:dyDescent="0.2">
      <c r="B222" s="1"/>
      <c r="C222" s="1"/>
      <c r="D222" s="1"/>
      <c r="E222" s="1"/>
    </row>
    <row r="223" spans="2:5" x14ac:dyDescent="0.2">
      <c r="B223" s="1"/>
      <c r="C223" s="1"/>
      <c r="D223" s="1"/>
      <c r="E223" s="1"/>
    </row>
    <row r="224" spans="2:5" x14ac:dyDescent="0.2">
      <c r="B224" s="1"/>
      <c r="C224" s="1"/>
      <c r="D224" s="1"/>
      <c r="E224" s="1"/>
    </row>
    <row r="225" spans="2:5" x14ac:dyDescent="0.2">
      <c r="B225" s="1"/>
      <c r="C225" s="1"/>
      <c r="D225" s="1"/>
      <c r="E225" s="1"/>
    </row>
    <row r="226" spans="2:5" x14ac:dyDescent="0.2">
      <c r="B226" s="1"/>
      <c r="C226" s="1"/>
      <c r="D226" s="1"/>
      <c r="E226" s="1"/>
    </row>
    <row r="227" spans="2:5" x14ac:dyDescent="0.2">
      <c r="B227" s="1"/>
      <c r="C227" s="1"/>
      <c r="D227" s="1"/>
      <c r="E227" s="1"/>
    </row>
    <row r="228" spans="2:5" x14ac:dyDescent="0.2">
      <c r="B228" s="1"/>
      <c r="C228" s="1"/>
      <c r="D228" s="1"/>
      <c r="E228" s="1"/>
    </row>
    <row r="229" spans="2:5" x14ac:dyDescent="0.2">
      <c r="B229" s="1"/>
      <c r="C229" s="1"/>
      <c r="D229" s="1"/>
      <c r="E229" s="1"/>
    </row>
    <row r="230" spans="2:5" x14ac:dyDescent="0.2">
      <c r="B230" s="1"/>
      <c r="C230" s="1"/>
      <c r="D230" s="1"/>
      <c r="E230" s="1"/>
    </row>
    <row r="231" spans="2:5" x14ac:dyDescent="0.2">
      <c r="B231" s="1"/>
      <c r="C231" s="1"/>
      <c r="D231" s="1"/>
      <c r="E231" s="1"/>
    </row>
    <row r="232" spans="2:5" x14ac:dyDescent="0.2">
      <c r="B232" s="1"/>
      <c r="C232" s="1"/>
      <c r="D232" s="1"/>
      <c r="E232" s="1"/>
    </row>
    <row r="233" spans="2:5" x14ac:dyDescent="0.2">
      <c r="B233" s="1"/>
      <c r="C233" s="1"/>
      <c r="D233" s="1"/>
      <c r="E233" s="1"/>
    </row>
    <row r="234" spans="2:5" x14ac:dyDescent="0.2">
      <c r="B234" s="1"/>
      <c r="C234" s="1"/>
      <c r="D234" s="1"/>
      <c r="E234" s="1"/>
    </row>
    <row r="235" spans="2:5" x14ac:dyDescent="0.2">
      <c r="B235" s="1"/>
      <c r="C235" s="1"/>
      <c r="D235" s="1"/>
      <c r="E235" s="1"/>
    </row>
    <row r="236" spans="2:5" x14ac:dyDescent="0.2">
      <c r="B236" s="1"/>
      <c r="C236" s="1"/>
      <c r="D236" s="1"/>
      <c r="E236" s="1"/>
    </row>
    <row r="237" spans="2:5" x14ac:dyDescent="0.2">
      <c r="B237" s="1"/>
      <c r="C237" s="1"/>
      <c r="D237" s="1"/>
      <c r="E237" s="1"/>
    </row>
    <row r="238" spans="2:5" x14ac:dyDescent="0.2">
      <c r="B238" s="1"/>
      <c r="C238" s="1"/>
      <c r="D238" s="1"/>
      <c r="E238" s="1"/>
    </row>
    <row r="239" spans="2:5" x14ac:dyDescent="0.2">
      <c r="B239" s="1"/>
      <c r="C239" s="1"/>
      <c r="D239" s="1"/>
      <c r="E239" s="1"/>
    </row>
    <row r="240" spans="2:5" x14ac:dyDescent="0.2">
      <c r="B240" s="1"/>
      <c r="C240" s="1"/>
      <c r="D240" s="1"/>
      <c r="E240" s="1"/>
    </row>
    <row r="241" spans="2:5" x14ac:dyDescent="0.2">
      <c r="B241" s="1"/>
      <c r="C241" s="1"/>
      <c r="D241" s="1"/>
      <c r="E241" s="1"/>
    </row>
    <row r="242" spans="2:5" x14ac:dyDescent="0.2">
      <c r="B242" s="1"/>
      <c r="C242" s="1"/>
      <c r="D242" s="1"/>
      <c r="E242" s="1"/>
    </row>
    <row r="243" spans="2:5" x14ac:dyDescent="0.2">
      <c r="B243" s="1"/>
      <c r="C243" s="1"/>
      <c r="D243" s="1"/>
      <c r="E243" s="1"/>
    </row>
    <row r="244" spans="2:5" x14ac:dyDescent="0.2">
      <c r="B244" s="1"/>
      <c r="C244" s="1"/>
      <c r="D244" s="1"/>
      <c r="E244" s="1"/>
    </row>
    <row r="245" spans="2:5" x14ac:dyDescent="0.2">
      <c r="B245" s="1"/>
      <c r="C245" s="1"/>
      <c r="D245" s="1"/>
      <c r="E245" s="1"/>
    </row>
    <row r="246" spans="2:5" x14ac:dyDescent="0.2">
      <c r="B246" s="1"/>
      <c r="C246" s="1"/>
      <c r="D246" s="1"/>
      <c r="E246" s="1"/>
    </row>
    <row r="247" spans="2:5" x14ac:dyDescent="0.2">
      <c r="B247" s="1"/>
      <c r="C247" s="1"/>
      <c r="D247" s="1"/>
      <c r="E247" s="1"/>
    </row>
    <row r="248" spans="2:5" x14ac:dyDescent="0.2">
      <c r="B248" s="1"/>
      <c r="C248" s="1"/>
      <c r="D248" s="1"/>
      <c r="E248" s="1"/>
    </row>
    <row r="249" spans="2:5" x14ac:dyDescent="0.2">
      <c r="B249" s="1"/>
      <c r="C249" s="1"/>
      <c r="D249" s="1"/>
      <c r="E249" s="1"/>
    </row>
    <row r="250" spans="2:5" x14ac:dyDescent="0.2">
      <c r="B250" s="1"/>
      <c r="C250" s="1"/>
      <c r="D250" s="1"/>
      <c r="E250" s="1"/>
    </row>
    <row r="251" spans="2:5" x14ac:dyDescent="0.2">
      <c r="B251" s="1"/>
      <c r="C251" s="1"/>
      <c r="D251" s="1"/>
      <c r="E251" s="1"/>
    </row>
    <row r="252" spans="2:5" x14ac:dyDescent="0.2">
      <c r="B252" s="1"/>
      <c r="C252" s="1"/>
      <c r="D252" s="1"/>
      <c r="E252" s="1"/>
    </row>
    <row r="253" spans="2:5" x14ac:dyDescent="0.2">
      <c r="B253" s="1"/>
      <c r="C253" s="1"/>
      <c r="D253" s="1"/>
      <c r="E253" s="1"/>
    </row>
    <row r="254" spans="2:5" x14ac:dyDescent="0.2">
      <c r="B254" s="1"/>
      <c r="C254" s="1"/>
      <c r="D254" s="1"/>
      <c r="E254" s="1"/>
    </row>
    <row r="255" spans="2:5" x14ac:dyDescent="0.2">
      <c r="B255" s="1"/>
      <c r="C255" s="1"/>
      <c r="D255" s="1"/>
      <c r="E255" s="1"/>
    </row>
    <row r="256" spans="2:5" x14ac:dyDescent="0.2">
      <c r="B256" s="1"/>
      <c r="C256" s="1"/>
      <c r="D256" s="1"/>
      <c r="E256" s="1"/>
    </row>
    <row r="257" spans="2:5" x14ac:dyDescent="0.2">
      <c r="B257" s="1"/>
      <c r="C257" s="1"/>
      <c r="D257" s="1"/>
      <c r="E257" s="1"/>
    </row>
    <row r="258" spans="2:5" x14ac:dyDescent="0.2">
      <c r="B258" s="1"/>
      <c r="C258" s="1"/>
      <c r="D258" s="1"/>
      <c r="E258" s="1"/>
    </row>
    <row r="259" spans="2:5" x14ac:dyDescent="0.2">
      <c r="B259" s="1"/>
      <c r="C259" s="1"/>
      <c r="D259" s="1"/>
      <c r="E259" s="1"/>
    </row>
    <row r="260" spans="2:5" x14ac:dyDescent="0.2">
      <c r="B260" s="1"/>
      <c r="C260" s="1"/>
      <c r="D260" s="1"/>
      <c r="E260" s="1"/>
    </row>
    <row r="261" spans="2:5" x14ac:dyDescent="0.2">
      <c r="B261" s="1"/>
      <c r="C261" s="1"/>
      <c r="D261" s="1"/>
      <c r="E261" s="1"/>
    </row>
    <row r="262" spans="2:5" x14ac:dyDescent="0.2">
      <c r="B262" s="1"/>
      <c r="C262" s="1"/>
      <c r="D262" s="1"/>
      <c r="E262" s="1"/>
    </row>
    <row r="263" spans="2:5" x14ac:dyDescent="0.2">
      <c r="B263" s="1"/>
      <c r="C263" s="1"/>
      <c r="D263" s="1"/>
      <c r="E263" s="1"/>
    </row>
    <row r="264" spans="2:5" x14ac:dyDescent="0.2">
      <c r="B264" s="1"/>
      <c r="C264" s="1"/>
      <c r="D264" s="1"/>
      <c r="E264" s="1"/>
    </row>
    <row r="265" spans="2:5" x14ac:dyDescent="0.2">
      <c r="B265" s="1"/>
      <c r="C265" s="1"/>
      <c r="D265" s="1"/>
      <c r="E265" s="1"/>
    </row>
    <row r="266" spans="2:5" x14ac:dyDescent="0.2">
      <c r="B266" s="1"/>
      <c r="C266" s="1"/>
      <c r="D266" s="1"/>
      <c r="E266" s="1"/>
    </row>
    <row r="267" spans="2:5" x14ac:dyDescent="0.2">
      <c r="B267" s="1"/>
      <c r="C267" s="1"/>
      <c r="D267" s="1"/>
      <c r="E267" s="1"/>
    </row>
    <row r="268" spans="2:5" x14ac:dyDescent="0.2">
      <c r="B268" s="1"/>
      <c r="C268" s="1"/>
      <c r="D268" s="1"/>
      <c r="E268" s="1"/>
    </row>
    <row r="269" spans="2:5" x14ac:dyDescent="0.2">
      <c r="B269" s="1"/>
      <c r="C269" s="1"/>
      <c r="D269" s="1"/>
      <c r="E269" s="1"/>
    </row>
    <row r="270" spans="2:5" x14ac:dyDescent="0.2">
      <c r="B270" s="1"/>
      <c r="C270" s="1"/>
      <c r="D270" s="1"/>
      <c r="E270" s="1"/>
    </row>
    <row r="271" spans="2:5" x14ac:dyDescent="0.2">
      <c r="B271" s="1"/>
      <c r="C271" s="1"/>
      <c r="D271" s="1"/>
      <c r="E271" s="1"/>
    </row>
    <row r="272" spans="2:5" x14ac:dyDescent="0.2">
      <c r="B272" s="1"/>
      <c r="C272" s="1"/>
      <c r="D272" s="1"/>
      <c r="E272" s="1"/>
    </row>
    <row r="273" spans="2:5" x14ac:dyDescent="0.2">
      <c r="B273" s="1"/>
      <c r="C273" s="1"/>
      <c r="D273" s="1"/>
      <c r="E273" s="1"/>
    </row>
    <row r="274" spans="2:5" x14ac:dyDescent="0.2">
      <c r="B274" s="1"/>
      <c r="C274" s="1"/>
      <c r="D274" s="1"/>
      <c r="E274" s="1"/>
    </row>
    <row r="275" spans="2:5" x14ac:dyDescent="0.2">
      <c r="B275" s="1"/>
      <c r="C275" s="1"/>
      <c r="D275" s="1"/>
      <c r="E275" s="1"/>
    </row>
    <row r="276" spans="2:5" x14ac:dyDescent="0.2">
      <c r="B276" s="1"/>
      <c r="C276" s="1"/>
      <c r="D276" s="1"/>
      <c r="E276" s="1"/>
    </row>
    <row r="277" spans="2:5" x14ac:dyDescent="0.2">
      <c r="B277" s="1"/>
      <c r="C277" s="1"/>
      <c r="D277" s="1"/>
      <c r="E277" s="1"/>
    </row>
    <row r="278" spans="2:5" x14ac:dyDescent="0.2">
      <c r="B278" s="1"/>
      <c r="C278" s="1"/>
      <c r="D278" s="1"/>
      <c r="E278" s="1"/>
    </row>
    <row r="279" spans="2:5" x14ac:dyDescent="0.2">
      <c r="B279" s="1"/>
      <c r="C279" s="1"/>
      <c r="D279" s="1"/>
      <c r="E279" s="1"/>
    </row>
    <row r="280" spans="2:5" x14ac:dyDescent="0.2">
      <c r="B280" s="1"/>
      <c r="C280" s="1"/>
      <c r="D280" s="1"/>
      <c r="E280" s="1"/>
    </row>
    <row r="281" spans="2:5" x14ac:dyDescent="0.2">
      <c r="B281" s="1"/>
      <c r="C281" s="1"/>
      <c r="D281" s="1"/>
      <c r="E281" s="1"/>
    </row>
    <row r="282" spans="2:5" x14ac:dyDescent="0.2">
      <c r="B282" s="1"/>
      <c r="C282" s="1"/>
      <c r="D282" s="1"/>
      <c r="E282" s="1"/>
    </row>
    <row r="283" spans="2:5" x14ac:dyDescent="0.2">
      <c r="B283" s="1"/>
      <c r="C283" s="1"/>
      <c r="D283" s="1"/>
      <c r="E283" s="1"/>
    </row>
    <row r="284" spans="2:5" x14ac:dyDescent="0.2">
      <c r="B284" s="1"/>
      <c r="C284" s="1"/>
      <c r="D284" s="1"/>
      <c r="E284" s="1"/>
    </row>
    <row r="285" spans="2:5" x14ac:dyDescent="0.2">
      <c r="B285" s="1"/>
      <c r="C285" s="1"/>
      <c r="D285" s="1"/>
      <c r="E285" s="1"/>
    </row>
    <row r="286" spans="2:5" x14ac:dyDescent="0.2">
      <c r="B286" s="1"/>
      <c r="C286" s="1"/>
      <c r="D286" s="1"/>
      <c r="E286" s="1"/>
    </row>
    <row r="287" spans="2:5" x14ac:dyDescent="0.2">
      <c r="B287" s="1"/>
      <c r="C287" s="1"/>
      <c r="D287" s="1"/>
      <c r="E287" s="1"/>
    </row>
    <row r="288" spans="2:5" x14ac:dyDescent="0.2">
      <c r="B288" s="1"/>
      <c r="C288" s="1"/>
      <c r="D288" s="1"/>
      <c r="E288" s="1"/>
    </row>
    <row r="289" spans="2:5" x14ac:dyDescent="0.2">
      <c r="B289" s="1"/>
      <c r="C289" s="1"/>
      <c r="D289" s="1"/>
      <c r="E289" s="1"/>
    </row>
    <row r="290" spans="2:5" x14ac:dyDescent="0.2">
      <c r="B290" s="1"/>
      <c r="C290" s="1"/>
      <c r="D290" s="1"/>
      <c r="E290" s="1"/>
    </row>
    <row r="291" spans="2:5" x14ac:dyDescent="0.2">
      <c r="B291" s="1"/>
      <c r="C291" s="1"/>
      <c r="D291" s="1"/>
      <c r="E291" s="1"/>
    </row>
    <row r="292" spans="2:5" x14ac:dyDescent="0.2">
      <c r="B292" s="1"/>
      <c r="C292" s="1"/>
      <c r="D292" s="1"/>
      <c r="E292" s="1"/>
    </row>
    <row r="293" spans="2:5" x14ac:dyDescent="0.2">
      <c r="B293" s="1"/>
      <c r="C293" s="1"/>
      <c r="D293" s="1"/>
      <c r="E293" s="1"/>
    </row>
    <row r="294" spans="2:5" x14ac:dyDescent="0.2">
      <c r="B294" s="1"/>
      <c r="C294" s="1"/>
      <c r="D294" s="1"/>
      <c r="E294" s="1"/>
    </row>
    <row r="295" spans="2:5" x14ac:dyDescent="0.2">
      <c r="B295" s="1"/>
      <c r="C295" s="1"/>
      <c r="D295" s="1"/>
      <c r="E295" s="1"/>
    </row>
    <row r="296" spans="2:5" x14ac:dyDescent="0.2">
      <c r="B296" s="1"/>
      <c r="C296" s="1"/>
      <c r="D296" s="1"/>
      <c r="E296" s="1"/>
    </row>
    <row r="297" spans="2:5" x14ac:dyDescent="0.2">
      <c r="B297" s="1"/>
      <c r="C297" s="1"/>
      <c r="D297" s="1"/>
      <c r="E297" s="1"/>
    </row>
    <row r="298" spans="2:5" x14ac:dyDescent="0.2">
      <c r="B298" s="1"/>
      <c r="C298" s="1"/>
      <c r="D298" s="1"/>
      <c r="E298" s="1"/>
    </row>
    <row r="299" spans="2:5" x14ac:dyDescent="0.2">
      <c r="B299" s="1"/>
      <c r="C299" s="1"/>
      <c r="D299" s="1"/>
      <c r="E299" s="1"/>
    </row>
    <row r="300" spans="2:5" x14ac:dyDescent="0.2">
      <c r="B300" s="1"/>
      <c r="C300" s="1"/>
      <c r="D300" s="1"/>
      <c r="E300" s="1"/>
    </row>
    <row r="301" spans="2:5" x14ac:dyDescent="0.2">
      <c r="B301" s="1"/>
      <c r="C301" s="1"/>
      <c r="D301" s="1"/>
      <c r="E301" s="1"/>
    </row>
    <row r="302" spans="2:5" x14ac:dyDescent="0.2">
      <c r="B302" s="1"/>
      <c r="C302" s="1"/>
      <c r="D302" s="1"/>
      <c r="E302" s="1"/>
    </row>
    <row r="303" spans="2:5" x14ac:dyDescent="0.2">
      <c r="B303" s="1"/>
      <c r="C303" s="1"/>
      <c r="D303" s="1"/>
      <c r="E303" s="1"/>
    </row>
    <row r="304" spans="2:5" x14ac:dyDescent="0.2">
      <c r="B304" s="1"/>
      <c r="C304" s="1"/>
      <c r="D304" s="1"/>
      <c r="E304" s="1"/>
    </row>
    <row r="305" spans="2:5" x14ac:dyDescent="0.2">
      <c r="B305" s="1"/>
      <c r="C305" s="1"/>
      <c r="D305" s="1"/>
      <c r="E305" s="1"/>
    </row>
    <row r="306" spans="2:5" x14ac:dyDescent="0.2">
      <c r="B306" s="1"/>
      <c r="C306" s="1"/>
      <c r="D306" s="1"/>
      <c r="E306" s="1"/>
    </row>
    <row r="307" spans="2:5" x14ac:dyDescent="0.2">
      <c r="B307" s="1"/>
      <c r="C307" s="1"/>
      <c r="D307" s="1"/>
      <c r="E307" s="1"/>
    </row>
    <row r="308" spans="2:5" x14ac:dyDescent="0.2">
      <c r="B308" s="1"/>
      <c r="C308" s="1"/>
      <c r="D308" s="1"/>
      <c r="E308" s="1"/>
    </row>
    <row r="309" spans="2:5" x14ac:dyDescent="0.2">
      <c r="B309" s="1"/>
      <c r="C309" s="1"/>
      <c r="D309" s="1"/>
      <c r="E309" s="1"/>
    </row>
    <row r="310" spans="2:5" x14ac:dyDescent="0.2">
      <c r="B310" s="1"/>
      <c r="C310" s="1"/>
      <c r="D310" s="1"/>
      <c r="E310" s="1"/>
    </row>
    <row r="311" spans="2:5" x14ac:dyDescent="0.2">
      <c r="B311" s="1"/>
      <c r="C311" s="1"/>
      <c r="D311" s="1"/>
      <c r="E311" s="1"/>
    </row>
    <row r="312" spans="2:5" x14ac:dyDescent="0.2">
      <c r="B312" s="1"/>
      <c r="C312" s="1"/>
      <c r="D312" s="1"/>
      <c r="E312" s="1"/>
    </row>
    <row r="313" spans="2:5" x14ac:dyDescent="0.2">
      <c r="B313" s="1"/>
      <c r="C313" s="1"/>
      <c r="D313" s="1"/>
      <c r="E313" s="1"/>
    </row>
    <row r="314" spans="2:5" x14ac:dyDescent="0.2">
      <c r="B314" s="1"/>
      <c r="C314" s="1"/>
      <c r="D314" s="1"/>
      <c r="E314" s="1"/>
    </row>
    <row r="315" spans="2:5" x14ac:dyDescent="0.2">
      <c r="B315" s="1"/>
      <c r="C315" s="1"/>
      <c r="D315" s="1"/>
      <c r="E315" s="1"/>
    </row>
    <row r="316" spans="2:5" x14ac:dyDescent="0.2">
      <c r="B316" s="1"/>
      <c r="C316" s="1"/>
      <c r="D316" s="1"/>
      <c r="E316" s="1"/>
    </row>
    <row r="317" spans="2:5" x14ac:dyDescent="0.2">
      <c r="B317" s="1"/>
      <c r="C317" s="1"/>
      <c r="D317" s="1"/>
      <c r="E317" s="1"/>
    </row>
    <row r="318" spans="2:5" x14ac:dyDescent="0.2">
      <c r="B318" s="1"/>
      <c r="C318" s="1"/>
      <c r="D318" s="1"/>
      <c r="E318" s="1"/>
    </row>
    <row r="319" spans="2:5" x14ac:dyDescent="0.2">
      <c r="B319" s="1"/>
      <c r="C319" s="1"/>
      <c r="D319" s="1"/>
      <c r="E319" s="1"/>
    </row>
    <row r="320" spans="2:5" x14ac:dyDescent="0.2">
      <c r="B320" s="1"/>
      <c r="C320" s="1"/>
      <c r="D320" s="1"/>
      <c r="E320" s="1"/>
    </row>
    <row r="321" spans="2:5" x14ac:dyDescent="0.2">
      <c r="B321" s="1"/>
      <c r="C321" s="1"/>
      <c r="D321" s="1"/>
      <c r="E321" s="1"/>
    </row>
    <row r="322" spans="2:5" x14ac:dyDescent="0.2">
      <c r="B322" s="1"/>
      <c r="C322" s="1"/>
      <c r="D322" s="1"/>
      <c r="E322" s="1"/>
    </row>
    <row r="323" spans="2:5" x14ac:dyDescent="0.2">
      <c r="B323" s="1"/>
      <c r="C323" s="1"/>
      <c r="D323" s="1"/>
      <c r="E323" s="1"/>
    </row>
    <row r="324" spans="2:5" x14ac:dyDescent="0.2">
      <c r="B324" s="1"/>
      <c r="C324" s="1"/>
      <c r="D324" s="1"/>
      <c r="E324" s="1"/>
    </row>
    <row r="325" spans="2:5" x14ac:dyDescent="0.2">
      <c r="B325" s="1"/>
      <c r="C325" s="1"/>
      <c r="D325" s="1"/>
      <c r="E325" s="1"/>
    </row>
    <row r="326" spans="2:5" x14ac:dyDescent="0.2">
      <c r="B326" s="1"/>
      <c r="C326" s="1"/>
      <c r="D326" s="1"/>
      <c r="E326" s="1"/>
    </row>
    <row r="327" spans="2:5" x14ac:dyDescent="0.2">
      <c r="B327" s="1"/>
      <c r="C327" s="1"/>
      <c r="D327" s="1"/>
      <c r="E327" s="1"/>
    </row>
    <row r="328" spans="2:5" x14ac:dyDescent="0.2">
      <c r="B328" s="1"/>
      <c r="C328" s="1"/>
      <c r="D328" s="1"/>
      <c r="E328" s="1"/>
    </row>
    <row r="329" spans="2:5" x14ac:dyDescent="0.2">
      <c r="B329" s="1"/>
      <c r="C329" s="1"/>
      <c r="D329" s="1"/>
      <c r="E329" s="1"/>
    </row>
    <row r="330" spans="2:5" x14ac:dyDescent="0.2">
      <c r="B330" s="1"/>
      <c r="C330" s="1"/>
      <c r="D330" s="1"/>
      <c r="E330" s="1"/>
    </row>
    <row r="331" spans="2:5" x14ac:dyDescent="0.2">
      <c r="B331" s="1"/>
      <c r="C331" s="1"/>
      <c r="D331" s="1"/>
      <c r="E331" s="1"/>
    </row>
    <row r="332" spans="2:5" x14ac:dyDescent="0.2">
      <c r="B332" s="1"/>
      <c r="C332" s="1"/>
      <c r="D332" s="1"/>
      <c r="E332" s="1"/>
    </row>
    <row r="333" spans="2:5" x14ac:dyDescent="0.2">
      <c r="B333" s="1"/>
      <c r="C333" s="1"/>
      <c r="D333" s="1"/>
      <c r="E333" s="1"/>
    </row>
    <row r="334" spans="2:5" x14ac:dyDescent="0.2">
      <c r="B334" s="1"/>
      <c r="C334" s="1"/>
      <c r="D334" s="1"/>
      <c r="E334" s="1"/>
    </row>
    <row r="335" spans="2:5" x14ac:dyDescent="0.2">
      <c r="B335" s="1"/>
      <c r="C335" s="1"/>
      <c r="D335" s="1"/>
      <c r="E335" s="1"/>
    </row>
    <row r="336" spans="2:5" x14ac:dyDescent="0.2">
      <c r="B336" s="1"/>
      <c r="C336" s="1"/>
      <c r="D336" s="1"/>
      <c r="E336" s="1"/>
    </row>
    <row r="337" spans="2:5" x14ac:dyDescent="0.2">
      <c r="B337" s="1"/>
      <c r="C337" s="1"/>
      <c r="D337" s="1"/>
      <c r="E337" s="1"/>
    </row>
    <row r="338" spans="2:5" x14ac:dyDescent="0.2">
      <c r="B338" s="1"/>
      <c r="C338" s="1"/>
      <c r="D338" s="1"/>
      <c r="E338" s="1"/>
    </row>
    <row r="339" spans="2:5" x14ac:dyDescent="0.2">
      <c r="B339" s="1"/>
      <c r="C339" s="1"/>
      <c r="D339" s="1"/>
      <c r="E339" s="1"/>
    </row>
    <row r="340" spans="2:5" x14ac:dyDescent="0.2">
      <c r="B340" s="1"/>
      <c r="C340" s="1"/>
      <c r="D340" s="1"/>
      <c r="E340" s="1"/>
    </row>
    <row r="341" spans="2:5" x14ac:dyDescent="0.2">
      <c r="B341" s="1"/>
      <c r="C341" s="1"/>
      <c r="D341" s="1"/>
      <c r="E341" s="1"/>
    </row>
    <row r="342" spans="2:5" x14ac:dyDescent="0.2">
      <c r="B342" s="1"/>
      <c r="C342" s="1"/>
      <c r="D342" s="1"/>
      <c r="E342" s="1"/>
    </row>
    <row r="343" spans="2:5" x14ac:dyDescent="0.2">
      <c r="B343" s="1"/>
      <c r="C343" s="1"/>
      <c r="D343" s="1"/>
      <c r="E343" s="1"/>
    </row>
    <row r="344" spans="2:5" x14ac:dyDescent="0.2">
      <c r="B344" s="1"/>
      <c r="C344" s="1"/>
      <c r="D344" s="1"/>
      <c r="E344" s="1"/>
    </row>
    <row r="345" spans="2:5" x14ac:dyDescent="0.2">
      <c r="B345" s="1"/>
      <c r="C345" s="1"/>
      <c r="D345" s="1"/>
      <c r="E345" s="1"/>
    </row>
    <row r="346" spans="2:5" x14ac:dyDescent="0.2">
      <c r="B346" s="1"/>
      <c r="C346" s="1"/>
      <c r="D346" s="1"/>
      <c r="E346" s="1"/>
    </row>
    <row r="347" spans="2:5" x14ac:dyDescent="0.2">
      <c r="B347" s="1"/>
      <c r="C347" s="1"/>
      <c r="D347" s="1"/>
      <c r="E347" s="1"/>
    </row>
    <row r="348" spans="2:5" x14ac:dyDescent="0.2">
      <c r="B348" s="1"/>
      <c r="C348" s="1"/>
      <c r="D348" s="1"/>
      <c r="E348" s="1"/>
    </row>
    <row r="349" spans="2:5" x14ac:dyDescent="0.2">
      <c r="B349" s="1"/>
      <c r="C349" s="1"/>
      <c r="D349" s="1"/>
      <c r="E349" s="1"/>
    </row>
    <row r="350" spans="2:5" x14ac:dyDescent="0.2">
      <c r="B350" s="1"/>
      <c r="C350" s="1"/>
      <c r="D350" s="1"/>
      <c r="E350" s="1"/>
    </row>
    <row r="351" spans="2:5" x14ac:dyDescent="0.2">
      <c r="B351" s="1"/>
      <c r="C351" s="1"/>
      <c r="D351" s="1"/>
      <c r="E351" s="1"/>
    </row>
    <row r="352" spans="2:5" x14ac:dyDescent="0.2">
      <c r="B352" s="1"/>
      <c r="C352" s="1"/>
      <c r="D352" s="1"/>
      <c r="E352" s="1"/>
    </row>
    <row r="353" spans="2:5" x14ac:dyDescent="0.2">
      <c r="B353" s="1"/>
      <c r="C353" s="1"/>
      <c r="D353" s="1"/>
      <c r="E353" s="1"/>
    </row>
    <row r="354" spans="2:5" x14ac:dyDescent="0.2">
      <c r="B354" s="1"/>
      <c r="C354" s="1"/>
      <c r="D354" s="1"/>
      <c r="E354" s="1"/>
    </row>
    <row r="355" spans="2:5" x14ac:dyDescent="0.2">
      <c r="B355" s="1"/>
      <c r="C355" s="1"/>
      <c r="D355" s="1"/>
      <c r="E355" s="1"/>
    </row>
    <row r="356" spans="2:5" x14ac:dyDescent="0.2">
      <c r="B356" s="1"/>
      <c r="C356" s="1"/>
      <c r="D356" s="1"/>
      <c r="E356" s="1"/>
    </row>
    <row r="357" spans="2:5" x14ac:dyDescent="0.2">
      <c r="B357" s="1"/>
      <c r="C357" s="1"/>
      <c r="D357" s="1"/>
      <c r="E357" s="1"/>
    </row>
    <row r="358" spans="2:5" x14ac:dyDescent="0.2">
      <c r="B358" s="1"/>
      <c r="C358" s="1"/>
      <c r="D358" s="1"/>
      <c r="E358" s="1"/>
    </row>
    <row r="359" spans="2:5" x14ac:dyDescent="0.2">
      <c r="B359" s="1"/>
      <c r="C359" s="1"/>
      <c r="D359" s="1"/>
      <c r="E359" s="1"/>
    </row>
    <row r="360" spans="2:5" x14ac:dyDescent="0.2">
      <c r="B360" s="1"/>
      <c r="C360" s="1"/>
      <c r="D360" s="1"/>
      <c r="E360" s="1"/>
    </row>
    <row r="361" spans="2:5" x14ac:dyDescent="0.2">
      <c r="B361" s="1"/>
      <c r="C361" s="1"/>
      <c r="D361" s="1"/>
      <c r="E361" s="1"/>
    </row>
    <row r="362" spans="2:5" x14ac:dyDescent="0.2">
      <c r="B362" s="1"/>
      <c r="C362" s="1"/>
      <c r="D362" s="1"/>
      <c r="E362" s="1"/>
    </row>
    <row r="363" spans="2:5" x14ac:dyDescent="0.2">
      <c r="B363" s="1"/>
      <c r="C363" s="1"/>
      <c r="D363" s="1"/>
      <c r="E363" s="1"/>
    </row>
    <row r="364" spans="2:5" x14ac:dyDescent="0.2">
      <c r="B364" s="1"/>
      <c r="C364" s="1"/>
      <c r="D364" s="1"/>
      <c r="E364" s="1"/>
    </row>
    <row r="365" spans="2:5" x14ac:dyDescent="0.2">
      <c r="B365" s="1"/>
      <c r="C365" s="1"/>
      <c r="D365" s="1"/>
      <c r="E365" s="1"/>
    </row>
    <row r="366" spans="2:5" x14ac:dyDescent="0.2">
      <c r="B366" s="1"/>
      <c r="C366" s="1"/>
      <c r="D366" s="1"/>
      <c r="E366" s="1"/>
    </row>
    <row r="367" spans="2:5" x14ac:dyDescent="0.2">
      <c r="B367" s="1"/>
      <c r="C367" s="1"/>
      <c r="D367" s="1"/>
      <c r="E367" s="1"/>
    </row>
    <row r="368" spans="2:5" x14ac:dyDescent="0.2">
      <c r="B368" s="1"/>
      <c r="C368" s="1"/>
      <c r="D368" s="1"/>
      <c r="E368" s="1"/>
    </row>
    <row r="369" spans="2:5" x14ac:dyDescent="0.2">
      <c r="B369" s="1"/>
      <c r="C369" s="1"/>
      <c r="D369" s="1"/>
      <c r="E369" s="1"/>
    </row>
    <row r="370" spans="2:5" x14ac:dyDescent="0.2">
      <c r="B370" s="1"/>
      <c r="C370" s="1"/>
      <c r="D370" s="1"/>
      <c r="E370" s="1"/>
    </row>
    <row r="371" spans="2:5" x14ac:dyDescent="0.2">
      <c r="B371" s="1"/>
      <c r="C371" s="1"/>
      <c r="D371" s="1"/>
      <c r="E371" s="1"/>
    </row>
    <row r="372" spans="2:5" x14ac:dyDescent="0.2">
      <c r="B372" s="1"/>
      <c r="C372" s="1"/>
      <c r="D372" s="1"/>
      <c r="E372" s="1"/>
    </row>
    <row r="373" spans="2:5" x14ac:dyDescent="0.2">
      <c r="B373" s="1"/>
      <c r="C373" s="1"/>
      <c r="D373" s="1"/>
      <c r="E373" s="1"/>
    </row>
    <row r="374" spans="2:5" x14ac:dyDescent="0.2">
      <c r="B374" s="1"/>
      <c r="C374" s="1"/>
      <c r="D374" s="1"/>
      <c r="E374" s="1"/>
    </row>
    <row r="375" spans="2:5" x14ac:dyDescent="0.2">
      <c r="B375" s="1"/>
      <c r="C375" s="1"/>
      <c r="D375" s="1"/>
      <c r="E375" s="1"/>
    </row>
    <row r="376" spans="2:5" x14ac:dyDescent="0.2">
      <c r="B376" s="1"/>
      <c r="C376" s="1"/>
      <c r="D376" s="1"/>
      <c r="E376" s="1"/>
    </row>
    <row r="377" spans="2:5" x14ac:dyDescent="0.2">
      <c r="B377" s="1"/>
      <c r="C377" s="1"/>
      <c r="D377" s="1"/>
      <c r="E37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20D1A-2B54-FB45-B1A7-F3445266685B}">
  <dimension ref="A1:J66"/>
  <sheetViews>
    <sheetView topLeftCell="A5" zoomScale="167" zoomScaleNormal="167" workbookViewId="0">
      <selection activeCell="H9" sqref="H9"/>
    </sheetView>
  </sheetViews>
  <sheetFormatPr baseColWidth="10" defaultRowHeight="16" x14ac:dyDescent="0.2"/>
  <cols>
    <col min="1" max="1" width="13.6640625" bestFit="1" customWidth="1"/>
    <col min="5" max="5" width="12.1640625" bestFit="1" customWidth="1"/>
    <col min="8" max="8" width="5.33203125" customWidth="1"/>
  </cols>
  <sheetData>
    <row r="1" spans="1:10" x14ac:dyDescent="0.2">
      <c r="A1" s="2" t="s">
        <v>80</v>
      </c>
    </row>
    <row r="2" spans="1:10" x14ac:dyDescent="0.2">
      <c r="A2" s="3" t="s">
        <v>81</v>
      </c>
      <c r="B2" s="3" t="s">
        <v>82</v>
      </c>
      <c r="C2" s="3" t="s">
        <v>83</v>
      </c>
      <c r="D2" s="3" t="s">
        <v>102</v>
      </c>
      <c r="E2" s="3" t="s">
        <v>166</v>
      </c>
      <c r="F2" s="3" t="s">
        <v>113</v>
      </c>
      <c r="G2" s="3" t="s">
        <v>177</v>
      </c>
      <c r="H2" s="3"/>
      <c r="I2" s="3"/>
      <c r="J2" s="3"/>
    </row>
    <row r="3" spans="1:10" x14ac:dyDescent="0.2">
      <c r="A3" s="13" t="s">
        <v>84</v>
      </c>
      <c r="B3" s="1">
        <v>3</v>
      </c>
      <c r="C3" s="1" t="s">
        <v>56</v>
      </c>
      <c r="D3" s="1" t="s">
        <v>43</v>
      </c>
      <c r="E3" s="1"/>
      <c r="F3" s="4" t="s">
        <v>114</v>
      </c>
      <c r="G3" s="1" t="s">
        <v>66</v>
      </c>
      <c r="H3" s="1" t="s">
        <v>178</v>
      </c>
    </row>
    <row r="4" spans="1:10" x14ac:dyDescent="0.2">
      <c r="A4" s="8" t="s">
        <v>85</v>
      </c>
      <c r="B4" s="1">
        <v>5</v>
      </c>
      <c r="C4" s="1"/>
      <c r="D4" s="1" t="s">
        <v>44</v>
      </c>
      <c r="E4" s="1"/>
      <c r="F4" s="5" t="s">
        <v>111</v>
      </c>
      <c r="G4" s="1" t="s">
        <v>66</v>
      </c>
      <c r="H4" s="1"/>
    </row>
    <row r="5" spans="1:10" x14ac:dyDescent="0.2">
      <c r="A5" s="8" t="s">
        <v>86</v>
      </c>
      <c r="B5" s="1">
        <v>6</v>
      </c>
      <c r="C5" s="1"/>
      <c r="D5" s="1" t="s">
        <v>45</v>
      </c>
      <c r="E5" s="1"/>
      <c r="F5" s="6" t="s">
        <v>115</v>
      </c>
      <c r="G5" s="1" t="s">
        <v>56</v>
      </c>
      <c r="H5" s="1" t="s">
        <v>179</v>
      </c>
      <c r="I5" s="1" t="s">
        <v>180</v>
      </c>
    </row>
    <row r="6" spans="1:10" x14ac:dyDescent="0.2">
      <c r="A6" s="8" t="s">
        <v>87</v>
      </c>
      <c r="B6" s="1">
        <v>8</v>
      </c>
      <c r="C6" s="1"/>
      <c r="D6" s="1" t="s">
        <v>63</v>
      </c>
      <c r="E6" s="1"/>
      <c r="F6" s="7" t="s">
        <v>91</v>
      </c>
      <c r="G6" s="1" t="s">
        <v>56</v>
      </c>
      <c r="H6" s="1" t="s">
        <v>181</v>
      </c>
      <c r="I6" s="1" t="s">
        <v>183</v>
      </c>
    </row>
    <row r="7" spans="1:10" x14ac:dyDescent="0.2">
      <c r="A7" s="8" t="s">
        <v>88</v>
      </c>
      <c r="B7" s="1">
        <v>4</v>
      </c>
      <c r="C7" s="1" t="s">
        <v>132</v>
      </c>
      <c r="D7" s="1" t="s">
        <v>46</v>
      </c>
      <c r="E7" s="1"/>
      <c r="F7" s="12" t="s">
        <v>116</v>
      </c>
      <c r="G7" s="1" t="s">
        <v>56</v>
      </c>
      <c r="H7" s="1" t="s">
        <v>182</v>
      </c>
      <c r="I7" s="1" t="s">
        <v>184</v>
      </c>
    </row>
    <row r="8" spans="1:10" x14ac:dyDescent="0.2">
      <c r="A8" s="9" t="s">
        <v>89</v>
      </c>
      <c r="B8" s="1">
        <v>3</v>
      </c>
      <c r="C8" s="1"/>
      <c r="D8" s="1" t="s">
        <v>44</v>
      </c>
      <c r="E8" s="1"/>
      <c r="F8" s="1"/>
      <c r="G8" s="1" t="s">
        <v>66</v>
      </c>
      <c r="H8" s="1"/>
    </row>
    <row r="9" spans="1:10" x14ac:dyDescent="0.2">
      <c r="A9" s="9" t="s">
        <v>90</v>
      </c>
      <c r="B9" s="1">
        <v>15</v>
      </c>
      <c r="C9" s="1">
        <v>30</v>
      </c>
      <c r="D9" s="1" t="s">
        <v>63</v>
      </c>
      <c r="E9" s="1"/>
      <c r="F9" s="1"/>
      <c r="G9" s="1" t="s">
        <v>43</v>
      </c>
      <c r="H9" s="1"/>
      <c r="J9" s="1"/>
    </row>
    <row r="10" spans="1:10" x14ac:dyDescent="0.2">
      <c r="A10" s="9" t="s">
        <v>91</v>
      </c>
      <c r="B10" s="1">
        <v>6</v>
      </c>
      <c r="C10" s="1"/>
      <c r="D10" s="1" t="s">
        <v>45</v>
      </c>
      <c r="E10" s="1"/>
      <c r="F10" s="1"/>
      <c r="G10" s="1" t="s">
        <v>56</v>
      </c>
      <c r="H10" s="1"/>
    </row>
    <row r="11" spans="1:10" x14ac:dyDescent="0.2">
      <c r="A11" s="9" t="s">
        <v>92</v>
      </c>
      <c r="B11" s="1">
        <v>8</v>
      </c>
      <c r="C11" s="1"/>
      <c r="D11" s="1" t="s">
        <v>46</v>
      </c>
      <c r="E11" s="1"/>
      <c r="F11" s="1"/>
      <c r="G11" s="1" t="s">
        <v>56</v>
      </c>
      <c r="H11" s="1"/>
    </row>
    <row r="12" spans="1:10" x14ac:dyDescent="0.2">
      <c r="A12" s="9" t="s">
        <v>93</v>
      </c>
      <c r="B12" s="1">
        <v>10</v>
      </c>
      <c r="C12" s="1" t="s">
        <v>135</v>
      </c>
      <c r="D12" s="1" t="s">
        <v>103</v>
      </c>
      <c r="E12" s="1"/>
      <c r="F12" s="1"/>
      <c r="G12" s="1" t="s">
        <v>56</v>
      </c>
      <c r="H12" s="1"/>
    </row>
    <row r="13" spans="1:10" x14ac:dyDescent="0.2">
      <c r="A13" s="9" t="s">
        <v>94</v>
      </c>
      <c r="B13" s="1">
        <v>25</v>
      </c>
      <c r="C13" s="1">
        <v>40</v>
      </c>
      <c r="D13" s="1" t="s">
        <v>104</v>
      </c>
      <c r="E13" s="1"/>
      <c r="F13" s="1"/>
      <c r="G13" s="1" t="s">
        <v>43</v>
      </c>
      <c r="H13" s="1"/>
      <c r="J13" s="1"/>
    </row>
    <row r="14" spans="1:10" x14ac:dyDescent="0.2">
      <c r="A14" s="10" t="s">
        <v>95</v>
      </c>
      <c r="B14" s="1">
        <v>4</v>
      </c>
      <c r="C14" s="1"/>
      <c r="D14" s="1" t="s">
        <v>43</v>
      </c>
      <c r="E14" s="1"/>
      <c r="F14" s="1"/>
      <c r="G14" s="1" t="s">
        <v>66</v>
      </c>
      <c r="H14" s="1"/>
    </row>
    <row r="15" spans="1:10" x14ac:dyDescent="0.2">
      <c r="A15" s="10" t="s">
        <v>96</v>
      </c>
      <c r="B15" s="1">
        <v>8</v>
      </c>
      <c r="C15" s="1"/>
      <c r="D15" s="1" t="s">
        <v>45</v>
      </c>
      <c r="E15" s="1"/>
      <c r="F15" s="1"/>
      <c r="G15" s="1" t="s">
        <v>56</v>
      </c>
      <c r="H15" s="1"/>
    </row>
    <row r="16" spans="1:10" x14ac:dyDescent="0.2">
      <c r="A16" s="10" t="s">
        <v>97</v>
      </c>
      <c r="B16" s="1">
        <v>12</v>
      </c>
      <c r="C16" s="1"/>
      <c r="D16" s="1" t="s">
        <v>63</v>
      </c>
      <c r="E16" s="1"/>
      <c r="F16" s="1"/>
      <c r="G16" s="1" t="s">
        <v>43</v>
      </c>
      <c r="H16" s="1"/>
    </row>
    <row r="17" spans="1:8" x14ac:dyDescent="0.2">
      <c r="A17" s="10" t="s">
        <v>98</v>
      </c>
      <c r="B17" s="1">
        <v>6</v>
      </c>
      <c r="C17" s="1"/>
      <c r="D17" s="1" t="s">
        <v>44</v>
      </c>
      <c r="E17" s="1"/>
      <c r="F17" s="1"/>
      <c r="G17" s="1" t="s">
        <v>66</v>
      </c>
      <c r="H17" s="1"/>
    </row>
    <row r="18" spans="1:8" x14ac:dyDescent="0.2">
      <c r="A18" s="10" t="s">
        <v>99</v>
      </c>
      <c r="B18" s="1">
        <v>12</v>
      </c>
      <c r="C18" s="1"/>
      <c r="D18" s="1" t="s">
        <v>46</v>
      </c>
      <c r="E18" s="1"/>
      <c r="F18" s="1"/>
      <c r="G18" s="1" t="s">
        <v>66</v>
      </c>
      <c r="H18" s="1"/>
    </row>
    <row r="19" spans="1:8" x14ac:dyDescent="0.2">
      <c r="A19" s="10" t="s">
        <v>100</v>
      </c>
      <c r="B19" s="1">
        <v>15</v>
      </c>
      <c r="C19" s="1"/>
      <c r="D19" s="1" t="s">
        <v>54</v>
      </c>
      <c r="E19" s="1"/>
      <c r="F19" s="1"/>
      <c r="G19" s="1" t="s">
        <v>56</v>
      </c>
      <c r="H19" s="1"/>
    </row>
    <row r="20" spans="1:8" x14ac:dyDescent="0.2">
      <c r="A20" s="10" t="s">
        <v>101</v>
      </c>
      <c r="B20" s="1">
        <v>20</v>
      </c>
      <c r="C20" s="1"/>
      <c r="D20" s="1" t="s">
        <v>105</v>
      </c>
      <c r="E20" s="1"/>
      <c r="F20" s="1"/>
      <c r="G20" s="1" t="s">
        <v>43</v>
      </c>
      <c r="H20" s="1"/>
    </row>
    <row r="21" spans="1:8" x14ac:dyDescent="0.2">
      <c r="A21" s="11" t="s">
        <v>106</v>
      </c>
      <c r="B21" s="1" t="s">
        <v>119</v>
      </c>
      <c r="C21" s="1"/>
      <c r="D21" s="1" t="s">
        <v>54</v>
      </c>
      <c r="E21" s="1"/>
      <c r="F21" s="1"/>
      <c r="G21" s="1" t="s">
        <v>43</v>
      </c>
      <c r="H21" s="1"/>
    </row>
    <row r="22" spans="1:8" x14ac:dyDescent="0.2">
      <c r="A22" s="11" t="s">
        <v>107</v>
      </c>
      <c r="B22" s="1" t="s">
        <v>120</v>
      </c>
      <c r="C22" s="1" t="s">
        <v>120</v>
      </c>
      <c r="D22" s="1" t="s">
        <v>129</v>
      </c>
      <c r="E22" s="1"/>
      <c r="F22" s="1"/>
      <c r="G22" s="1" t="s">
        <v>43</v>
      </c>
      <c r="H22" s="1"/>
    </row>
    <row r="23" spans="1:8" x14ac:dyDescent="0.2">
      <c r="A23" s="11" t="s">
        <v>108</v>
      </c>
      <c r="B23" s="1" t="s">
        <v>121</v>
      </c>
      <c r="C23" s="1" t="s">
        <v>127</v>
      </c>
      <c r="D23" s="1" t="s">
        <v>130</v>
      </c>
      <c r="E23" s="1"/>
      <c r="F23" s="1"/>
      <c r="G23" s="1" t="s">
        <v>43</v>
      </c>
      <c r="H23" s="1"/>
    </row>
    <row r="24" spans="1:8" x14ac:dyDescent="0.2">
      <c r="A24" s="11" t="s">
        <v>109</v>
      </c>
      <c r="B24" s="1" t="s">
        <v>127</v>
      </c>
      <c r="C24" s="1" t="s">
        <v>134</v>
      </c>
      <c r="D24" s="1" t="s">
        <v>131</v>
      </c>
      <c r="E24" s="1"/>
      <c r="F24" s="1"/>
      <c r="G24" s="1" t="s">
        <v>43</v>
      </c>
      <c r="H24" s="1"/>
    </row>
    <row r="25" spans="1:8" x14ac:dyDescent="0.2">
      <c r="A25" s="9" t="s">
        <v>110</v>
      </c>
      <c r="B25" s="1" t="s">
        <v>45</v>
      </c>
      <c r="C25" s="1"/>
      <c r="D25" s="1" t="s">
        <v>56</v>
      </c>
      <c r="E25" s="1"/>
      <c r="F25" s="1"/>
      <c r="G25" s="1" t="s">
        <v>66</v>
      </c>
      <c r="H25" s="1"/>
    </row>
    <row r="26" spans="1:8" x14ac:dyDescent="0.2">
      <c r="A26" s="13" t="s">
        <v>111</v>
      </c>
      <c r="B26" s="1" t="s">
        <v>104</v>
      </c>
      <c r="C26" s="1" t="s">
        <v>129</v>
      </c>
      <c r="D26" s="1" t="s">
        <v>46</v>
      </c>
      <c r="E26" s="1"/>
      <c r="F26" s="1"/>
      <c r="G26" s="1" t="s">
        <v>56</v>
      </c>
      <c r="H26" s="1"/>
    </row>
    <row r="27" spans="1:8" x14ac:dyDescent="0.2">
      <c r="A27" s="13" t="s">
        <v>112</v>
      </c>
      <c r="B27" s="1" t="s">
        <v>119</v>
      </c>
      <c r="C27" s="1" t="s">
        <v>133</v>
      </c>
      <c r="D27" s="1" t="s">
        <v>104</v>
      </c>
      <c r="E27" s="1"/>
      <c r="F27" s="1"/>
      <c r="G27" s="1" t="s">
        <v>56</v>
      </c>
      <c r="H27" s="1"/>
    </row>
    <row r="28" spans="1:8" x14ac:dyDescent="0.2">
      <c r="A28" t="s">
        <v>117</v>
      </c>
      <c r="B28" s="1" t="s">
        <v>46</v>
      </c>
      <c r="C28" s="1"/>
      <c r="D28" s="1" t="s">
        <v>45</v>
      </c>
      <c r="E28" s="1"/>
      <c r="F28" s="1"/>
      <c r="G28" s="1" t="s">
        <v>66</v>
      </c>
      <c r="H28" s="1"/>
    </row>
    <row r="29" spans="1:8" x14ac:dyDescent="0.2">
      <c r="A29" t="s">
        <v>118</v>
      </c>
      <c r="B29" s="1" t="s">
        <v>103</v>
      </c>
      <c r="C29" s="1"/>
      <c r="D29" s="1" t="s">
        <v>54</v>
      </c>
      <c r="E29" s="1"/>
      <c r="F29" s="1"/>
      <c r="G29" s="1" t="s">
        <v>56</v>
      </c>
      <c r="H29" s="1"/>
    </row>
    <row r="30" spans="1:8" x14ac:dyDescent="0.2">
      <c r="A30" t="s">
        <v>122</v>
      </c>
      <c r="B30" s="1" t="s">
        <v>103</v>
      </c>
      <c r="C30" s="1"/>
      <c r="D30" s="1" t="s">
        <v>44</v>
      </c>
      <c r="E30" s="1"/>
      <c r="F30" s="1"/>
      <c r="G30" s="1" t="s">
        <v>56</v>
      </c>
      <c r="H30" s="1"/>
    </row>
    <row r="31" spans="1:8" x14ac:dyDescent="0.2">
      <c r="A31" t="s">
        <v>123</v>
      </c>
      <c r="B31" s="1" t="s">
        <v>128</v>
      </c>
      <c r="C31" s="1"/>
      <c r="D31" s="1" t="s">
        <v>45</v>
      </c>
      <c r="E31" s="1"/>
      <c r="F31" s="1"/>
      <c r="G31" s="1" t="s">
        <v>56</v>
      </c>
      <c r="H31" s="1"/>
    </row>
    <row r="32" spans="1:8" x14ac:dyDescent="0.2">
      <c r="A32" t="s">
        <v>124</v>
      </c>
      <c r="B32" s="1" t="s">
        <v>63</v>
      </c>
      <c r="C32" s="1" t="s">
        <v>105</v>
      </c>
      <c r="D32" s="1" t="s">
        <v>45</v>
      </c>
      <c r="E32" s="1"/>
      <c r="F32" s="1"/>
      <c r="G32" s="1" t="s">
        <v>56</v>
      </c>
      <c r="H32" s="1"/>
    </row>
    <row r="33" spans="1:8" x14ac:dyDescent="0.2">
      <c r="A33" t="s">
        <v>125</v>
      </c>
      <c r="B33" s="1" t="s">
        <v>54</v>
      </c>
      <c r="C33" s="1" t="s">
        <v>54</v>
      </c>
      <c r="D33" s="1" t="s">
        <v>44</v>
      </c>
      <c r="E33" s="1"/>
      <c r="F33" s="1"/>
      <c r="G33" s="1" t="s">
        <v>56</v>
      </c>
      <c r="H33" s="1"/>
    </row>
    <row r="34" spans="1:8" x14ac:dyDescent="0.2">
      <c r="A34" t="s">
        <v>126</v>
      </c>
      <c r="B34" s="1" t="s">
        <v>46</v>
      </c>
      <c r="C34" s="1" t="s">
        <v>132</v>
      </c>
      <c r="D34" s="1" t="s">
        <v>43</v>
      </c>
      <c r="E34" s="1"/>
      <c r="F34" s="1"/>
      <c r="G34" s="1" t="s">
        <v>56</v>
      </c>
      <c r="H34" s="1"/>
    </row>
    <row r="35" spans="1:8" x14ac:dyDescent="0.2">
      <c r="B35" s="1"/>
      <c r="C35" s="1"/>
      <c r="D35" s="1"/>
      <c r="E35" s="1"/>
      <c r="F35" s="1"/>
      <c r="G35" s="1"/>
      <c r="H35" s="1"/>
    </row>
    <row r="36" spans="1:8" x14ac:dyDescent="0.2">
      <c r="B36" s="1"/>
      <c r="C36" s="1"/>
      <c r="D36" s="1"/>
      <c r="E36" s="1"/>
      <c r="F36" s="1"/>
      <c r="G36" s="1"/>
      <c r="H36" s="1"/>
    </row>
    <row r="37" spans="1:8" x14ac:dyDescent="0.2">
      <c r="A37" t="s">
        <v>163</v>
      </c>
      <c r="B37" s="1" t="s">
        <v>164</v>
      </c>
      <c r="C37" s="1" t="s">
        <v>165</v>
      </c>
      <c r="D37" s="1" t="s">
        <v>129</v>
      </c>
      <c r="E37" s="1" t="s">
        <v>104</v>
      </c>
      <c r="F37" s="1"/>
      <c r="G37" s="1"/>
      <c r="H37" s="1"/>
    </row>
    <row r="38" spans="1:8" x14ac:dyDescent="0.2">
      <c r="A38" t="s">
        <v>167</v>
      </c>
      <c r="B38" s="1" t="s">
        <v>168</v>
      </c>
      <c r="C38" s="1" t="s">
        <v>169</v>
      </c>
      <c r="D38" s="1" t="s">
        <v>119</v>
      </c>
      <c r="E38" s="1" t="s">
        <v>169</v>
      </c>
      <c r="F38" s="1"/>
      <c r="G38" s="1"/>
      <c r="H38" s="1"/>
    </row>
    <row r="39" spans="1:8" x14ac:dyDescent="0.2">
      <c r="B39" s="1"/>
      <c r="C39" s="1"/>
      <c r="D39" s="1"/>
      <c r="E39" s="1"/>
      <c r="F39" s="1"/>
      <c r="G39" s="1"/>
      <c r="H39" s="1"/>
    </row>
    <row r="40" spans="1:8" x14ac:dyDescent="0.2">
      <c r="B40" s="1"/>
      <c r="C40" s="1"/>
      <c r="D40" s="1"/>
      <c r="E40" s="1"/>
      <c r="F40" s="1"/>
      <c r="G40" s="1"/>
      <c r="H40" s="1"/>
    </row>
    <row r="41" spans="1:8" x14ac:dyDescent="0.2">
      <c r="B41" s="1"/>
      <c r="C41" s="1"/>
      <c r="D41" s="1"/>
      <c r="E41" s="1"/>
      <c r="F41" s="1"/>
      <c r="G41" s="1"/>
      <c r="H41" s="1"/>
    </row>
    <row r="42" spans="1:8" x14ac:dyDescent="0.2">
      <c r="B42" s="1"/>
      <c r="C42" s="1"/>
      <c r="D42" s="1"/>
      <c r="E42" s="1"/>
      <c r="F42" s="1"/>
      <c r="G42" s="1"/>
      <c r="H42" s="1"/>
    </row>
    <row r="43" spans="1:8" x14ac:dyDescent="0.2">
      <c r="B43" s="1"/>
      <c r="C43" s="1"/>
      <c r="D43" s="1"/>
      <c r="E43" s="1"/>
      <c r="F43" s="1"/>
      <c r="G43" s="1"/>
      <c r="H43" s="1"/>
    </row>
    <row r="44" spans="1:8" x14ac:dyDescent="0.2">
      <c r="B44" s="1"/>
      <c r="C44" s="1"/>
      <c r="D44" s="1"/>
      <c r="E44" s="1"/>
      <c r="F44" s="1"/>
      <c r="G44" s="1"/>
      <c r="H44" s="1"/>
    </row>
    <row r="45" spans="1:8" x14ac:dyDescent="0.2">
      <c r="B45" s="1"/>
      <c r="C45" s="1"/>
      <c r="D45" s="1"/>
      <c r="E45" s="1"/>
      <c r="F45" s="1"/>
      <c r="G45" s="1"/>
      <c r="H45" s="1"/>
    </row>
    <row r="46" spans="1:8" x14ac:dyDescent="0.2">
      <c r="B46" s="1"/>
      <c r="C46" s="1"/>
      <c r="D46" s="1"/>
      <c r="E46" s="1"/>
      <c r="F46" s="1"/>
      <c r="G46" s="1"/>
      <c r="H46" s="1"/>
    </row>
    <row r="47" spans="1:8" x14ac:dyDescent="0.2">
      <c r="B47" s="1"/>
      <c r="C47" s="1"/>
      <c r="D47" s="1"/>
      <c r="E47" s="1"/>
      <c r="F47" s="1"/>
      <c r="G47" s="1"/>
      <c r="H47" s="1"/>
    </row>
    <row r="48" spans="1:8" x14ac:dyDescent="0.2">
      <c r="B48" s="1"/>
      <c r="C48" s="1"/>
      <c r="D48" s="1"/>
      <c r="E48" s="1"/>
      <c r="F48" s="1"/>
      <c r="G48" s="1"/>
      <c r="H48" s="1"/>
    </row>
    <row r="49" spans="2:8" x14ac:dyDescent="0.2">
      <c r="B49" s="1"/>
      <c r="C49" s="1"/>
      <c r="D49" s="1"/>
      <c r="E49" s="1"/>
      <c r="F49" s="1"/>
      <c r="G49" s="1"/>
      <c r="H49" s="1"/>
    </row>
    <row r="50" spans="2:8" x14ac:dyDescent="0.2">
      <c r="B50" s="1"/>
      <c r="C50" s="1"/>
      <c r="D50" s="1"/>
      <c r="E50" s="1"/>
      <c r="F50" s="1"/>
      <c r="G50" s="1"/>
      <c r="H50" s="1"/>
    </row>
    <row r="51" spans="2:8" x14ac:dyDescent="0.2">
      <c r="B51" s="1"/>
      <c r="C51" s="1"/>
      <c r="D51" s="1"/>
      <c r="E51" s="1"/>
      <c r="F51" s="1"/>
      <c r="G51" s="1"/>
      <c r="H51" s="1"/>
    </row>
    <row r="52" spans="2:8" x14ac:dyDescent="0.2">
      <c r="B52" s="1"/>
      <c r="C52" s="1"/>
      <c r="D52" s="1"/>
      <c r="E52" s="1"/>
      <c r="F52" s="1"/>
      <c r="G52" s="1"/>
      <c r="H52" s="1"/>
    </row>
    <row r="53" spans="2:8" x14ac:dyDescent="0.2">
      <c r="B53" s="1"/>
      <c r="C53" s="1"/>
      <c r="D53" s="1"/>
      <c r="E53" s="1"/>
      <c r="F53" s="1"/>
      <c r="G53" s="1"/>
      <c r="H53" s="1"/>
    </row>
    <row r="54" spans="2:8" x14ac:dyDescent="0.2">
      <c r="B54" s="1"/>
      <c r="C54" s="1"/>
      <c r="D54" s="1"/>
      <c r="E54" s="1"/>
      <c r="F54" s="1"/>
      <c r="G54" s="1"/>
      <c r="H54" s="1"/>
    </row>
    <row r="55" spans="2:8" x14ac:dyDescent="0.2">
      <c r="B55" s="1"/>
      <c r="C55" s="1"/>
      <c r="D55" s="1"/>
      <c r="E55" s="1"/>
      <c r="F55" s="1"/>
      <c r="G55" s="1"/>
      <c r="H55" s="1"/>
    </row>
    <row r="56" spans="2:8" x14ac:dyDescent="0.2">
      <c r="B56" s="1"/>
      <c r="C56" s="1"/>
      <c r="D56" s="1"/>
      <c r="E56" s="1"/>
      <c r="F56" s="1"/>
      <c r="G56" s="1"/>
      <c r="H56" s="1"/>
    </row>
    <row r="57" spans="2:8" x14ac:dyDescent="0.2">
      <c r="B57" s="1"/>
      <c r="C57" s="1"/>
      <c r="D57" s="1"/>
      <c r="E57" s="1"/>
      <c r="F57" s="1"/>
      <c r="G57" s="1"/>
      <c r="H57" s="1"/>
    </row>
    <row r="58" spans="2:8" x14ac:dyDescent="0.2">
      <c r="B58" s="1"/>
      <c r="C58" s="1"/>
      <c r="D58" s="1"/>
      <c r="E58" s="1"/>
      <c r="F58" s="1"/>
      <c r="G58" s="1"/>
      <c r="H58" s="1"/>
    </row>
    <row r="59" spans="2:8" x14ac:dyDescent="0.2">
      <c r="B59" s="1"/>
      <c r="C59" s="1"/>
      <c r="D59" s="1"/>
      <c r="E59" s="1"/>
      <c r="F59" s="1"/>
      <c r="G59" s="1"/>
      <c r="H59" s="1"/>
    </row>
    <row r="60" spans="2:8" x14ac:dyDescent="0.2">
      <c r="B60" s="1"/>
      <c r="C60" s="1"/>
      <c r="D60" s="1"/>
      <c r="E60" s="1"/>
      <c r="F60" s="1"/>
      <c r="G60" s="1"/>
      <c r="H60" s="1"/>
    </row>
    <row r="61" spans="2:8" x14ac:dyDescent="0.2">
      <c r="B61" s="1"/>
      <c r="C61" s="1"/>
      <c r="D61" s="1"/>
      <c r="E61" s="1"/>
      <c r="F61" s="1"/>
      <c r="G61" s="1"/>
      <c r="H61" s="1"/>
    </row>
    <row r="62" spans="2:8" x14ac:dyDescent="0.2">
      <c r="B62" s="1"/>
      <c r="C62" s="1"/>
      <c r="D62" s="1"/>
      <c r="E62" s="1"/>
      <c r="F62" s="1"/>
      <c r="G62" s="1"/>
      <c r="H62" s="1"/>
    </row>
    <row r="63" spans="2:8" x14ac:dyDescent="0.2">
      <c r="B63" s="1"/>
      <c r="C63" s="1"/>
      <c r="D63" s="1"/>
      <c r="E63" s="1"/>
      <c r="F63" s="1"/>
      <c r="G63" s="1"/>
      <c r="H63" s="1"/>
    </row>
    <row r="64" spans="2:8" x14ac:dyDescent="0.2">
      <c r="B64" s="1"/>
      <c r="C64" s="1"/>
      <c r="D64" s="1"/>
      <c r="E64" s="1"/>
      <c r="F64" s="1"/>
      <c r="G64" s="1"/>
      <c r="H64" s="1"/>
    </row>
    <row r="65" spans="2:8" x14ac:dyDescent="0.2">
      <c r="B65" s="1"/>
      <c r="C65" s="1"/>
      <c r="D65" s="1"/>
      <c r="E65" s="1"/>
      <c r="F65" s="1"/>
      <c r="G65" s="1"/>
      <c r="H65" s="1"/>
    </row>
    <row r="66" spans="2:8" x14ac:dyDescent="0.2">
      <c r="B66" s="1"/>
      <c r="C66" s="1"/>
      <c r="D66" s="1"/>
      <c r="E66" s="1"/>
      <c r="F66" s="1"/>
      <c r="G66" s="1"/>
      <c r="H6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6BB0-6886-A54A-B106-A909C51EC0CA}">
  <dimension ref="A1:J20"/>
  <sheetViews>
    <sheetView zoomScale="176" zoomScaleNormal="176" workbookViewId="0">
      <selection activeCell="B15" sqref="B15:D18"/>
    </sheetView>
  </sheetViews>
  <sheetFormatPr baseColWidth="10" defaultRowHeight="16" x14ac:dyDescent="0.2"/>
  <cols>
    <col min="1" max="1" width="14.5" bestFit="1" customWidth="1"/>
  </cols>
  <sheetData>
    <row r="1" spans="1:10" ht="24" x14ac:dyDescent="0.3">
      <c r="A1" s="33" t="s">
        <v>136</v>
      </c>
      <c r="B1" s="33"/>
      <c r="C1" s="33"/>
      <c r="D1" s="33"/>
      <c r="E1" s="33"/>
      <c r="F1" s="33"/>
      <c r="G1" s="33"/>
      <c r="H1" s="33"/>
      <c r="I1" s="33"/>
    </row>
    <row r="2" spans="1:10" x14ac:dyDescent="0.2">
      <c r="B2" s="16" t="s">
        <v>137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H2" t="s">
        <v>148</v>
      </c>
      <c r="I2" t="s">
        <v>149</v>
      </c>
    </row>
    <row r="3" spans="1:10" x14ac:dyDescent="0.2">
      <c r="A3" t="s">
        <v>139</v>
      </c>
      <c r="B3" s="16">
        <v>4</v>
      </c>
      <c r="C3" s="14">
        <v>3</v>
      </c>
      <c r="D3" s="14">
        <v>-1</v>
      </c>
      <c r="E3" s="14">
        <v>0</v>
      </c>
      <c r="F3" s="14">
        <v>1</v>
      </c>
      <c r="G3" s="14">
        <v>2</v>
      </c>
      <c r="H3" s="14">
        <v>0</v>
      </c>
      <c r="I3" s="14">
        <v>0</v>
      </c>
    </row>
    <row r="4" spans="1:10" x14ac:dyDescent="0.2">
      <c r="A4" t="s">
        <v>140</v>
      </c>
      <c r="B4" s="16">
        <v>4</v>
      </c>
      <c r="C4" s="14">
        <v>-1</v>
      </c>
      <c r="D4" s="14">
        <v>1</v>
      </c>
      <c r="E4" s="14">
        <v>2</v>
      </c>
      <c r="F4" s="14">
        <v>0</v>
      </c>
      <c r="G4" s="14">
        <v>-1</v>
      </c>
      <c r="H4" s="14">
        <v>2</v>
      </c>
      <c r="I4" s="14">
        <v>3</v>
      </c>
    </row>
    <row r="5" spans="1:10" x14ac:dyDescent="0.2">
      <c r="A5" t="s">
        <v>141</v>
      </c>
      <c r="B5" s="16">
        <v>4</v>
      </c>
      <c r="C5" s="14">
        <v>1</v>
      </c>
      <c r="D5" s="14">
        <v>1</v>
      </c>
      <c r="E5" s="14" t="s">
        <v>150</v>
      </c>
      <c r="F5" s="14">
        <v>2</v>
      </c>
      <c r="G5" s="14">
        <v>1</v>
      </c>
      <c r="H5" s="14">
        <v>0</v>
      </c>
      <c r="I5" s="14">
        <v>0</v>
      </c>
    </row>
    <row r="6" spans="1:10" x14ac:dyDescent="0.2">
      <c r="A6" t="s">
        <v>142</v>
      </c>
      <c r="B6" s="17">
        <v>4</v>
      </c>
      <c r="C6" s="14">
        <v>0</v>
      </c>
      <c r="D6" s="14">
        <v>2</v>
      </c>
      <c r="E6" s="14">
        <v>2</v>
      </c>
      <c r="F6" s="14">
        <v>0</v>
      </c>
      <c r="G6" s="14">
        <v>1</v>
      </c>
      <c r="H6" s="14">
        <v>1</v>
      </c>
      <c r="I6" s="14">
        <v>0</v>
      </c>
    </row>
    <row r="7" spans="1:10" x14ac:dyDescent="0.2">
      <c r="B7" s="16" t="s">
        <v>151</v>
      </c>
      <c r="C7" s="19">
        <f>C3+C4+C5+C6</f>
        <v>3</v>
      </c>
      <c r="D7" s="19">
        <f t="shared" ref="D7:I7" si="0">D3+D4+D5+D6</f>
        <v>3</v>
      </c>
      <c r="E7" s="19">
        <f t="shared" si="0"/>
        <v>3</v>
      </c>
      <c r="F7" s="19">
        <f t="shared" si="0"/>
        <v>3</v>
      </c>
      <c r="G7" s="19">
        <f t="shared" si="0"/>
        <v>3</v>
      </c>
      <c r="H7" s="19">
        <f t="shared" si="0"/>
        <v>3</v>
      </c>
      <c r="I7" s="19">
        <f t="shared" si="0"/>
        <v>3</v>
      </c>
      <c r="J7" t="s">
        <v>153</v>
      </c>
    </row>
    <row r="8" spans="1:10" x14ac:dyDescent="0.2">
      <c r="B8" s="34" t="s">
        <v>152</v>
      </c>
      <c r="C8" s="35"/>
    </row>
    <row r="9" spans="1:10" x14ac:dyDescent="0.2">
      <c r="C9" s="18">
        <f>$B$3+C3</f>
        <v>7</v>
      </c>
      <c r="D9" s="18">
        <f t="shared" ref="D9:I9" si="1">$B$3+D3</f>
        <v>3</v>
      </c>
      <c r="E9" s="18">
        <f t="shared" si="1"/>
        <v>4</v>
      </c>
      <c r="F9" s="18">
        <f t="shared" si="1"/>
        <v>5</v>
      </c>
      <c r="G9" s="18">
        <f t="shared" si="1"/>
        <v>6</v>
      </c>
      <c r="H9" s="18">
        <f t="shared" si="1"/>
        <v>4</v>
      </c>
      <c r="I9" s="18">
        <f t="shared" si="1"/>
        <v>4</v>
      </c>
    </row>
    <row r="10" spans="1:10" x14ac:dyDescent="0.2">
      <c r="C10" s="18">
        <f>$B$4+C4</f>
        <v>3</v>
      </c>
      <c r="D10" s="18">
        <f t="shared" ref="D10:I10" si="2">$B$4+D4</f>
        <v>5</v>
      </c>
      <c r="E10" s="18">
        <f t="shared" si="2"/>
        <v>6</v>
      </c>
      <c r="F10" s="18">
        <f t="shared" si="2"/>
        <v>4</v>
      </c>
      <c r="G10" s="18">
        <f t="shared" si="2"/>
        <v>3</v>
      </c>
      <c r="H10" s="18">
        <f t="shared" si="2"/>
        <v>6</v>
      </c>
      <c r="I10" s="18">
        <f t="shared" si="2"/>
        <v>7</v>
      </c>
    </row>
    <row r="11" spans="1:10" x14ac:dyDescent="0.2">
      <c r="C11" s="18">
        <f>$B$5+C5</f>
        <v>5</v>
      </c>
      <c r="D11" s="18">
        <f t="shared" ref="D11:I11" si="3">$B$5+D5</f>
        <v>5</v>
      </c>
      <c r="E11" s="18">
        <f t="shared" si="3"/>
        <v>3</v>
      </c>
      <c r="F11" s="18">
        <f t="shared" si="3"/>
        <v>6</v>
      </c>
      <c r="G11" s="18">
        <f t="shared" si="3"/>
        <v>5</v>
      </c>
      <c r="H11" s="18">
        <f t="shared" si="3"/>
        <v>4</v>
      </c>
      <c r="I11" s="18">
        <f t="shared" si="3"/>
        <v>4</v>
      </c>
    </row>
    <row r="12" spans="1:10" x14ac:dyDescent="0.2">
      <c r="C12" s="18">
        <f>$B$5+C6</f>
        <v>4</v>
      </c>
      <c r="D12" s="18">
        <f t="shared" ref="D12:I12" si="4">$B$5+D6</f>
        <v>6</v>
      </c>
      <c r="E12" s="18">
        <f t="shared" si="4"/>
        <v>6</v>
      </c>
      <c r="F12" s="18">
        <f t="shared" si="4"/>
        <v>4</v>
      </c>
      <c r="G12" s="18">
        <f t="shared" si="4"/>
        <v>5</v>
      </c>
      <c r="H12" s="18">
        <f t="shared" si="4"/>
        <v>5</v>
      </c>
      <c r="I12" s="18">
        <f t="shared" si="4"/>
        <v>4</v>
      </c>
    </row>
    <row r="14" spans="1:10" x14ac:dyDescent="0.2">
      <c r="B14" t="s">
        <v>160</v>
      </c>
    </row>
    <row r="15" spans="1:10" x14ac:dyDescent="0.2">
      <c r="B15" t="s">
        <v>138</v>
      </c>
      <c r="C15">
        <v>50</v>
      </c>
      <c r="D15" t="s">
        <v>157</v>
      </c>
    </row>
    <row r="16" spans="1:10" x14ac:dyDescent="0.2">
      <c r="B16" t="s">
        <v>154</v>
      </c>
      <c r="C16">
        <v>50</v>
      </c>
      <c r="D16" t="s">
        <v>158</v>
      </c>
    </row>
    <row r="17" spans="2:4" x14ac:dyDescent="0.2">
      <c r="B17" t="s">
        <v>155</v>
      </c>
      <c r="C17">
        <v>50</v>
      </c>
      <c r="D17" t="s">
        <v>159</v>
      </c>
    </row>
    <row r="18" spans="2:4" x14ac:dyDescent="0.2">
      <c r="B18" t="s">
        <v>156</v>
      </c>
      <c r="C18">
        <v>50</v>
      </c>
      <c r="D18" t="s">
        <v>161</v>
      </c>
    </row>
    <row r="20" spans="2:4" x14ac:dyDescent="0.2">
      <c r="B20" t="s">
        <v>162</v>
      </c>
    </row>
  </sheetData>
  <mergeCells count="2">
    <mergeCell ref="A1:I1"/>
    <mergeCell ref="B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B89F7-F1FD-4145-964E-EA8AA835034F}">
  <dimension ref="A1:H33"/>
  <sheetViews>
    <sheetView workbookViewId="0">
      <selection activeCell="I8" sqref="I8"/>
    </sheetView>
  </sheetViews>
  <sheetFormatPr baseColWidth="10" defaultRowHeight="16" x14ac:dyDescent="0.2"/>
  <cols>
    <col min="1" max="1" width="9" customWidth="1"/>
  </cols>
  <sheetData>
    <row r="1" spans="1:8" ht="27" x14ac:dyDescent="0.35">
      <c r="A1" s="36" t="s">
        <v>170</v>
      </c>
      <c r="B1" s="36"/>
      <c r="C1" s="36"/>
      <c r="D1" s="36"/>
      <c r="E1" s="36"/>
      <c r="F1" s="36"/>
    </row>
    <row r="2" spans="1:8" x14ac:dyDescent="0.2">
      <c r="A2" t="s">
        <v>171</v>
      </c>
      <c r="B2" t="s">
        <v>172</v>
      </c>
      <c r="D2" t="s">
        <v>173</v>
      </c>
      <c r="E2" t="s">
        <v>172</v>
      </c>
      <c r="G2" t="s">
        <v>176</v>
      </c>
      <c r="H2" t="s">
        <v>172</v>
      </c>
    </row>
    <row r="3" spans="1:8" x14ac:dyDescent="0.2">
      <c r="A3">
        <v>2</v>
      </c>
      <c r="B3">
        <v>3</v>
      </c>
      <c r="D3">
        <v>2</v>
      </c>
      <c r="E3" s="15">
        <v>3</v>
      </c>
      <c r="G3">
        <v>2</v>
      </c>
      <c r="H3">
        <v>3</v>
      </c>
    </row>
    <row r="4" spans="1:8" x14ac:dyDescent="0.2">
      <c r="A4">
        <v>3</v>
      </c>
      <c r="B4">
        <f>A3+B3</f>
        <v>5</v>
      </c>
      <c r="D4">
        <v>3</v>
      </c>
      <c r="E4" s="15">
        <f>D3+E3/2</f>
        <v>3.5</v>
      </c>
      <c r="G4">
        <v>3</v>
      </c>
    </row>
    <row r="5" spans="1:8" x14ac:dyDescent="0.2">
      <c r="A5">
        <v>4</v>
      </c>
      <c r="B5">
        <f t="shared" ref="B5:B31" si="0">A4+B4</f>
        <v>8</v>
      </c>
      <c r="D5">
        <v>4</v>
      </c>
      <c r="E5" s="15">
        <f t="shared" ref="E5:E31" si="1">D4+E4/2</f>
        <v>4.75</v>
      </c>
      <c r="G5">
        <v>4</v>
      </c>
    </row>
    <row r="6" spans="1:8" x14ac:dyDescent="0.2">
      <c r="A6">
        <v>5</v>
      </c>
      <c r="B6">
        <f t="shared" si="0"/>
        <v>12</v>
      </c>
      <c r="D6">
        <v>5</v>
      </c>
      <c r="E6" s="15">
        <f t="shared" si="1"/>
        <v>6.375</v>
      </c>
      <c r="G6">
        <v>5</v>
      </c>
    </row>
    <row r="7" spans="1:8" x14ac:dyDescent="0.2">
      <c r="A7">
        <v>6</v>
      </c>
      <c r="B7">
        <f t="shared" si="0"/>
        <v>17</v>
      </c>
      <c r="D7">
        <v>6</v>
      </c>
      <c r="E7" s="15">
        <f t="shared" si="1"/>
        <v>8.1875</v>
      </c>
      <c r="G7">
        <v>6</v>
      </c>
    </row>
    <row r="8" spans="1:8" x14ac:dyDescent="0.2">
      <c r="A8">
        <v>7</v>
      </c>
      <c r="B8">
        <f t="shared" si="0"/>
        <v>23</v>
      </c>
      <c r="D8">
        <v>7</v>
      </c>
      <c r="E8" s="15">
        <f t="shared" si="1"/>
        <v>10.09375</v>
      </c>
      <c r="G8">
        <v>7</v>
      </c>
    </row>
    <row r="9" spans="1:8" x14ac:dyDescent="0.2">
      <c r="A9">
        <v>8</v>
      </c>
      <c r="B9">
        <f t="shared" si="0"/>
        <v>30</v>
      </c>
      <c r="D9">
        <v>8</v>
      </c>
      <c r="E9" s="15">
        <f t="shared" si="1"/>
        <v>12.046875</v>
      </c>
      <c r="G9">
        <v>8</v>
      </c>
    </row>
    <row r="10" spans="1:8" x14ac:dyDescent="0.2">
      <c r="A10">
        <v>9</v>
      </c>
      <c r="B10">
        <f t="shared" si="0"/>
        <v>38</v>
      </c>
      <c r="D10">
        <v>9</v>
      </c>
      <c r="E10" s="15">
        <f t="shared" si="1"/>
        <v>14.0234375</v>
      </c>
      <c r="G10">
        <v>9</v>
      </c>
    </row>
    <row r="11" spans="1:8" x14ac:dyDescent="0.2">
      <c r="A11">
        <v>10</v>
      </c>
      <c r="B11">
        <f t="shared" si="0"/>
        <v>47</v>
      </c>
      <c r="D11">
        <v>10</v>
      </c>
      <c r="E11" s="15">
        <f t="shared" si="1"/>
        <v>16.01171875</v>
      </c>
      <c r="G11">
        <v>10</v>
      </c>
    </row>
    <row r="12" spans="1:8" x14ac:dyDescent="0.2">
      <c r="A12">
        <v>11</v>
      </c>
      <c r="B12">
        <f t="shared" si="0"/>
        <v>57</v>
      </c>
      <c r="D12">
        <v>11</v>
      </c>
      <c r="E12" s="15">
        <f t="shared" si="1"/>
        <v>18.005859375</v>
      </c>
      <c r="G12">
        <v>11</v>
      </c>
    </row>
    <row r="13" spans="1:8" x14ac:dyDescent="0.2">
      <c r="A13">
        <v>12</v>
      </c>
      <c r="B13">
        <f t="shared" si="0"/>
        <v>68</v>
      </c>
      <c r="D13">
        <v>12</v>
      </c>
      <c r="E13" s="15">
        <f t="shared" si="1"/>
        <v>20.0029296875</v>
      </c>
      <c r="G13">
        <v>12</v>
      </c>
    </row>
    <row r="14" spans="1:8" x14ac:dyDescent="0.2">
      <c r="A14">
        <v>13</v>
      </c>
      <c r="B14">
        <f t="shared" si="0"/>
        <v>80</v>
      </c>
      <c r="D14">
        <v>13</v>
      </c>
      <c r="E14" s="15">
        <f t="shared" si="1"/>
        <v>22.00146484375</v>
      </c>
      <c r="G14">
        <v>13</v>
      </c>
    </row>
    <row r="15" spans="1:8" x14ac:dyDescent="0.2">
      <c r="A15">
        <v>14</v>
      </c>
      <c r="B15">
        <f t="shared" si="0"/>
        <v>93</v>
      </c>
      <c r="D15">
        <v>14</v>
      </c>
      <c r="E15" s="15">
        <f t="shared" si="1"/>
        <v>24.000732421875</v>
      </c>
      <c r="G15">
        <v>14</v>
      </c>
    </row>
    <row r="16" spans="1:8" x14ac:dyDescent="0.2">
      <c r="A16">
        <v>15</v>
      </c>
      <c r="B16">
        <f t="shared" si="0"/>
        <v>107</v>
      </c>
      <c r="D16">
        <v>15</v>
      </c>
      <c r="E16" s="15">
        <f t="shared" si="1"/>
        <v>26.0003662109375</v>
      </c>
      <c r="G16">
        <v>15</v>
      </c>
    </row>
    <row r="17" spans="1:7" x14ac:dyDescent="0.2">
      <c r="A17">
        <v>16</v>
      </c>
      <c r="B17">
        <f t="shared" si="0"/>
        <v>122</v>
      </c>
      <c r="D17">
        <v>16</v>
      </c>
      <c r="E17" s="15">
        <f t="shared" si="1"/>
        <v>28.00018310546875</v>
      </c>
      <c r="G17">
        <v>16</v>
      </c>
    </row>
    <row r="18" spans="1:7" x14ac:dyDescent="0.2">
      <c r="A18">
        <v>17</v>
      </c>
      <c r="B18">
        <f t="shared" si="0"/>
        <v>138</v>
      </c>
      <c r="D18">
        <v>17</v>
      </c>
      <c r="E18" s="15">
        <f t="shared" si="1"/>
        <v>30.000091552734375</v>
      </c>
      <c r="G18">
        <v>17</v>
      </c>
    </row>
    <row r="19" spans="1:7" x14ac:dyDescent="0.2">
      <c r="A19">
        <v>18</v>
      </c>
      <c r="B19">
        <f t="shared" si="0"/>
        <v>155</v>
      </c>
      <c r="D19">
        <v>18</v>
      </c>
      <c r="E19" s="15">
        <f t="shared" si="1"/>
        <v>32.000045776367188</v>
      </c>
      <c r="G19">
        <v>18</v>
      </c>
    </row>
    <row r="20" spans="1:7" x14ac:dyDescent="0.2">
      <c r="A20">
        <v>19</v>
      </c>
      <c r="B20">
        <f t="shared" si="0"/>
        <v>173</v>
      </c>
      <c r="D20">
        <v>19</v>
      </c>
      <c r="E20" s="15">
        <f t="shared" si="1"/>
        <v>34.000022888183594</v>
      </c>
      <c r="G20">
        <v>19</v>
      </c>
    </row>
    <row r="21" spans="1:7" x14ac:dyDescent="0.2">
      <c r="A21">
        <v>20</v>
      </c>
      <c r="B21">
        <f t="shared" si="0"/>
        <v>192</v>
      </c>
      <c r="D21">
        <v>20</v>
      </c>
      <c r="E21" s="15">
        <f t="shared" si="1"/>
        <v>36.000011444091797</v>
      </c>
      <c r="G21">
        <v>20</v>
      </c>
    </row>
    <row r="22" spans="1:7" x14ac:dyDescent="0.2">
      <c r="A22">
        <v>21</v>
      </c>
      <c r="B22">
        <f t="shared" si="0"/>
        <v>212</v>
      </c>
      <c r="D22">
        <v>21</v>
      </c>
      <c r="E22" s="15">
        <f t="shared" si="1"/>
        <v>38.000005722045898</v>
      </c>
      <c r="G22">
        <v>21</v>
      </c>
    </row>
    <row r="23" spans="1:7" x14ac:dyDescent="0.2">
      <c r="A23">
        <v>22</v>
      </c>
      <c r="B23">
        <f t="shared" si="0"/>
        <v>233</v>
      </c>
      <c r="D23">
        <v>22</v>
      </c>
      <c r="E23" s="15">
        <f t="shared" si="1"/>
        <v>40.000002861022949</v>
      </c>
      <c r="G23">
        <v>22</v>
      </c>
    </row>
    <row r="24" spans="1:7" x14ac:dyDescent="0.2">
      <c r="A24">
        <v>23</v>
      </c>
      <c r="B24">
        <f t="shared" si="0"/>
        <v>255</v>
      </c>
      <c r="D24">
        <v>23</v>
      </c>
      <c r="E24" s="15">
        <f t="shared" si="1"/>
        <v>42.000001430511475</v>
      </c>
      <c r="G24">
        <v>23</v>
      </c>
    </row>
    <row r="25" spans="1:7" x14ac:dyDescent="0.2">
      <c r="A25">
        <v>24</v>
      </c>
      <c r="B25">
        <f t="shared" si="0"/>
        <v>278</v>
      </c>
      <c r="D25">
        <v>24</v>
      </c>
      <c r="E25" s="15">
        <f t="shared" si="1"/>
        <v>44.000000715255737</v>
      </c>
      <c r="G25">
        <v>24</v>
      </c>
    </row>
    <row r="26" spans="1:7" x14ac:dyDescent="0.2">
      <c r="A26">
        <v>25</v>
      </c>
      <c r="B26">
        <f t="shared" si="0"/>
        <v>302</v>
      </c>
      <c r="D26">
        <v>25</v>
      </c>
      <c r="E26" s="15">
        <f t="shared" si="1"/>
        <v>46.000000357627869</v>
      </c>
      <c r="G26">
        <v>25</v>
      </c>
    </row>
    <row r="27" spans="1:7" x14ac:dyDescent="0.2">
      <c r="A27">
        <v>26</v>
      </c>
      <c r="B27">
        <f t="shared" si="0"/>
        <v>327</v>
      </c>
      <c r="D27">
        <v>26</v>
      </c>
      <c r="E27" s="15">
        <f t="shared" si="1"/>
        <v>48.000000178813934</v>
      </c>
      <c r="G27">
        <v>26</v>
      </c>
    </row>
    <row r="28" spans="1:7" x14ac:dyDescent="0.2">
      <c r="A28">
        <v>27</v>
      </c>
      <c r="B28">
        <f t="shared" si="0"/>
        <v>353</v>
      </c>
      <c r="D28">
        <v>27</v>
      </c>
      <c r="E28" s="15">
        <f t="shared" si="1"/>
        <v>50.000000089406967</v>
      </c>
      <c r="G28">
        <v>27</v>
      </c>
    </row>
    <row r="29" spans="1:7" x14ac:dyDescent="0.2">
      <c r="A29">
        <v>28</v>
      </c>
      <c r="B29">
        <f t="shared" si="0"/>
        <v>380</v>
      </c>
      <c r="D29">
        <v>28</v>
      </c>
      <c r="E29" s="15">
        <f t="shared" si="1"/>
        <v>52.000000044703484</v>
      </c>
      <c r="G29">
        <v>28</v>
      </c>
    </row>
    <row r="30" spans="1:7" x14ac:dyDescent="0.2">
      <c r="A30">
        <v>29</v>
      </c>
      <c r="B30">
        <f t="shared" si="0"/>
        <v>408</v>
      </c>
      <c r="D30">
        <v>29</v>
      </c>
      <c r="E30" s="15">
        <f t="shared" si="1"/>
        <v>54.000000022351742</v>
      </c>
      <c r="G30">
        <v>29</v>
      </c>
    </row>
    <row r="31" spans="1:7" x14ac:dyDescent="0.2">
      <c r="A31">
        <v>30</v>
      </c>
      <c r="B31">
        <f t="shared" si="0"/>
        <v>437</v>
      </c>
      <c r="D31">
        <v>30</v>
      </c>
      <c r="E31" s="15">
        <f t="shared" si="1"/>
        <v>56.000000011175871</v>
      </c>
      <c r="G31">
        <v>30</v>
      </c>
    </row>
    <row r="33" spans="1:4" x14ac:dyDescent="0.2">
      <c r="A33" t="s">
        <v>174</v>
      </c>
      <c r="D33" t="s">
        <v>175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60506-9043-FD49-8776-FF2C527B770F}">
  <dimension ref="A1:C22"/>
  <sheetViews>
    <sheetView workbookViewId="0">
      <selection activeCell="C12" sqref="C12"/>
    </sheetView>
  </sheetViews>
  <sheetFormatPr baseColWidth="10" defaultRowHeight="16" x14ac:dyDescent="0.2"/>
  <cols>
    <col min="2" max="2" width="13" bestFit="1" customWidth="1"/>
  </cols>
  <sheetData>
    <row r="1" spans="1:3" x14ac:dyDescent="0.2">
      <c r="A1" t="s">
        <v>185</v>
      </c>
    </row>
    <row r="2" spans="1:3" x14ac:dyDescent="0.2">
      <c r="A2" t="s">
        <v>186</v>
      </c>
      <c r="B2" t="s">
        <v>187</v>
      </c>
    </row>
    <row r="3" spans="1:3" x14ac:dyDescent="0.2">
      <c r="A3">
        <v>1</v>
      </c>
      <c r="B3">
        <v>3</v>
      </c>
      <c r="C3">
        <f>B4-B3</f>
        <v>1</v>
      </c>
    </row>
    <row r="4" spans="1:3" x14ac:dyDescent="0.2">
      <c r="A4">
        <v>2</v>
      </c>
      <c r="B4">
        <v>4</v>
      </c>
      <c r="C4">
        <f t="shared" ref="C4:C21" si="0">B5-B4</f>
        <v>2</v>
      </c>
    </row>
    <row r="5" spans="1:3" x14ac:dyDescent="0.2">
      <c r="A5">
        <v>3</v>
      </c>
      <c r="B5">
        <v>6</v>
      </c>
      <c r="C5">
        <f t="shared" si="0"/>
        <v>2</v>
      </c>
    </row>
    <row r="6" spans="1:3" x14ac:dyDescent="0.2">
      <c r="A6">
        <v>4</v>
      </c>
      <c r="B6">
        <v>8</v>
      </c>
      <c r="C6">
        <f t="shared" si="0"/>
        <v>2</v>
      </c>
    </row>
    <row r="7" spans="1:3" x14ac:dyDescent="0.2">
      <c r="A7">
        <v>5</v>
      </c>
      <c r="B7">
        <v>10</v>
      </c>
      <c r="C7">
        <f t="shared" si="0"/>
        <v>3</v>
      </c>
    </row>
    <row r="8" spans="1:3" x14ac:dyDescent="0.2">
      <c r="A8">
        <v>6</v>
      </c>
      <c r="B8">
        <v>13</v>
      </c>
      <c r="C8">
        <f t="shared" si="0"/>
        <v>4</v>
      </c>
    </row>
    <row r="9" spans="1:3" x14ac:dyDescent="0.2">
      <c r="A9">
        <v>7</v>
      </c>
      <c r="B9">
        <v>17</v>
      </c>
      <c r="C9">
        <f t="shared" si="0"/>
        <v>5</v>
      </c>
    </row>
    <row r="10" spans="1:3" x14ac:dyDescent="0.2">
      <c r="A10">
        <v>8</v>
      </c>
      <c r="B10">
        <v>22</v>
      </c>
      <c r="C10">
        <f t="shared" si="0"/>
        <v>4</v>
      </c>
    </row>
    <row r="11" spans="1:3" x14ac:dyDescent="0.2">
      <c r="A11">
        <v>9</v>
      </c>
      <c r="B11">
        <v>26</v>
      </c>
      <c r="C11">
        <f t="shared" si="0"/>
        <v>6</v>
      </c>
    </row>
    <row r="12" spans="1:3" x14ac:dyDescent="0.2">
      <c r="A12">
        <v>10</v>
      </c>
      <c r="B12">
        <v>32</v>
      </c>
      <c r="C12">
        <f t="shared" si="0"/>
        <v>7</v>
      </c>
    </row>
    <row r="13" spans="1:3" x14ac:dyDescent="0.2">
      <c r="A13">
        <v>11</v>
      </c>
      <c r="B13">
        <v>39</v>
      </c>
      <c r="C13">
        <f t="shared" si="0"/>
        <v>10</v>
      </c>
    </row>
    <row r="14" spans="1:3" x14ac:dyDescent="0.2">
      <c r="A14">
        <v>12</v>
      </c>
      <c r="B14">
        <v>49</v>
      </c>
      <c r="C14">
        <f t="shared" si="0"/>
        <v>13</v>
      </c>
    </row>
    <row r="15" spans="1:3" x14ac:dyDescent="0.2">
      <c r="A15">
        <v>13</v>
      </c>
      <c r="B15">
        <v>62</v>
      </c>
      <c r="C15">
        <f t="shared" si="0"/>
        <v>12</v>
      </c>
    </row>
    <row r="16" spans="1:3" x14ac:dyDescent="0.2">
      <c r="A16">
        <v>14</v>
      </c>
      <c r="B16">
        <v>74</v>
      </c>
      <c r="C16">
        <f t="shared" si="0"/>
        <v>12</v>
      </c>
    </row>
    <row r="17" spans="1:3" x14ac:dyDescent="0.2">
      <c r="A17">
        <v>15</v>
      </c>
      <c r="B17">
        <v>86</v>
      </c>
      <c r="C17">
        <f t="shared" si="0"/>
        <v>13</v>
      </c>
    </row>
    <row r="18" spans="1:3" x14ac:dyDescent="0.2">
      <c r="A18">
        <v>16</v>
      </c>
      <c r="B18">
        <v>99</v>
      </c>
      <c r="C18">
        <f t="shared" si="0"/>
        <v>13</v>
      </c>
    </row>
    <row r="19" spans="1:3" x14ac:dyDescent="0.2">
      <c r="A19">
        <v>17</v>
      </c>
      <c r="B19">
        <v>112</v>
      </c>
      <c r="C19">
        <f t="shared" si="0"/>
        <v>25</v>
      </c>
    </row>
    <row r="20" spans="1:3" x14ac:dyDescent="0.2">
      <c r="A20">
        <v>18</v>
      </c>
      <c r="B20">
        <v>137</v>
      </c>
      <c r="C20">
        <f t="shared" si="0"/>
        <v>21</v>
      </c>
    </row>
    <row r="21" spans="1:3" x14ac:dyDescent="0.2">
      <c r="A21">
        <v>19</v>
      </c>
      <c r="B21">
        <v>158</v>
      </c>
      <c r="C21">
        <f t="shared" si="0"/>
        <v>27</v>
      </c>
    </row>
    <row r="22" spans="1:3" x14ac:dyDescent="0.2">
      <c r="A22">
        <v>20</v>
      </c>
      <c r="B22">
        <v>185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5A1C2-3980-0A43-BAB4-97CD0871BBE3}">
  <dimension ref="A1:L20"/>
  <sheetViews>
    <sheetView topLeftCell="A5" zoomScale="149" zoomScaleNormal="149" workbookViewId="0">
      <selection activeCell="L21" sqref="L21"/>
    </sheetView>
  </sheetViews>
  <sheetFormatPr baseColWidth="10" defaultRowHeight="16" x14ac:dyDescent="0.2"/>
  <cols>
    <col min="1" max="1" width="14.5" bestFit="1" customWidth="1"/>
    <col min="11" max="11" width="3" customWidth="1"/>
  </cols>
  <sheetData>
    <row r="1" spans="1:12" x14ac:dyDescent="0.2">
      <c r="A1" s="20"/>
      <c r="B1" s="21" t="s">
        <v>137</v>
      </c>
      <c r="C1" s="20" t="s">
        <v>143</v>
      </c>
      <c r="D1" s="20" t="s">
        <v>144</v>
      </c>
      <c r="E1" s="20" t="s">
        <v>145</v>
      </c>
      <c r="F1" s="20" t="s">
        <v>146</v>
      </c>
      <c r="G1" s="20" t="s">
        <v>147</v>
      </c>
      <c r="H1" s="20" t="s">
        <v>148</v>
      </c>
      <c r="I1" s="20" t="s">
        <v>149</v>
      </c>
    </row>
    <row r="2" spans="1:12" x14ac:dyDescent="0.2">
      <c r="A2" s="20" t="s">
        <v>139</v>
      </c>
      <c r="B2" s="22">
        <v>4</v>
      </c>
      <c r="C2" s="23">
        <v>3</v>
      </c>
      <c r="D2" s="23">
        <v>-1</v>
      </c>
      <c r="E2" s="23">
        <v>0</v>
      </c>
      <c r="F2" s="23">
        <v>1</v>
      </c>
      <c r="G2" s="23">
        <v>2</v>
      </c>
      <c r="H2" s="23">
        <v>0</v>
      </c>
      <c r="I2" s="23">
        <v>0</v>
      </c>
    </row>
    <row r="3" spans="1:12" x14ac:dyDescent="0.2">
      <c r="A3" s="20" t="s">
        <v>140</v>
      </c>
      <c r="B3" s="22">
        <v>4</v>
      </c>
      <c r="C3" s="23">
        <v>-1</v>
      </c>
      <c r="D3" s="23">
        <v>1</v>
      </c>
      <c r="E3" s="23">
        <v>2</v>
      </c>
      <c r="F3" s="23">
        <v>0</v>
      </c>
      <c r="G3" s="23">
        <v>-1</v>
      </c>
      <c r="H3" s="23">
        <v>2</v>
      </c>
      <c r="I3" s="23">
        <v>3</v>
      </c>
    </row>
    <row r="4" spans="1:12" x14ac:dyDescent="0.2">
      <c r="A4" s="20" t="s">
        <v>141</v>
      </c>
      <c r="B4" s="22">
        <v>4</v>
      </c>
      <c r="C4" s="23">
        <v>1</v>
      </c>
      <c r="D4" s="23">
        <v>1</v>
      </c>
      <c r="E4" s="23">
        <v>-1</v>
      </c>
      <c r="F4" s="23">
        <v>2</v>
      </c>
      <c r="G4" s="23">
        <v>1</v>
      </c>
      <c r="H4" s="23">
        <v>0</v>
      </c>
      <c r="I4" s="23">
        <v>0</v>
      </c>
    </row>
    <row r="5" spans="1:12" x14ac:dyDescent="0.2">
      <c r="A5" s="20" t="s">
        <v>142</v>
      </c>
      <c r="B5" s="24">
        <v>4</v>
      </c>
      <c r="C5" s="23">
        <v>0</v>
      </c>
      <c r="D5" s="23">
        <v>2</v>
      </c>
      <c r="E5" s="23">
        <v>2</v>
      </c>
      <c r="F5" s="23">
        <v>0</v>
      </c>
      <c r="G5" s="23">
        <v>1</v>
      </c>
      <c r="H5" s="23">
        <v>1</v>
      </c>
      <c r="I5" s="23">
        <v>0</v>
      </c>
    </row>
    <row r="6" spans="1:12" x14ac:dyDescent="0.2">
      <c r="A6" s="20"/>
      <c r="B6" s="21" t="s">
        <v>151</v>
      </c>
      <c r="C6" s="25">
        <v>3</v>
      </c>
      <c r="D6" s="25">
        <v>3</v>
      </c>
      <c r="E6" s="25">
        <v>3</v>
      </c>
      <c r="F6" s="25">
        <v>3</v>
      </c>
      <c r="G6" s="25">
        <v>3</v>
      </c>
      <c r="H6" s="25">
        <v>3</v>
      </c>
      <c r="I6" s="25">
        <v>3</v>
      </c>
    </row>
    <row r="7" spans="1:12" x14ac:dyDescent="0.2">
      <c r="A7" s="20"/>
      <c r="B7" s="31" t="s">
        <v>152</v>
      </c>
      <c r="C7" s="32"/>
      <c r="D7" s="20"/>
      <c r="E7" s="20"/>
      <c r="F7" s="20"/>
      <c r="G7" s="20"/>
      <c r="H7" s="20"/>
      <c r="I7" s="20"/>
    </row>
    <row r="8" spans="1:12" x14ac:dyDescent="0.2">
      <c r="A8" s="20"/>
      <c r="B8" s="20"/>
      <c r="C8" s="26">
        <v>7</v>
      </c>
      <c r="D8" s="27">
        <v>3</v>
      </c>
      <c r="E8" s="27">
        <v>4</v>
      </c>
      <c r="F8" s="27">
        <v>5</v>
      </c>
      <c r="G8" s="27">
        <v>6</v>
      </c>
      <c r="H8" s="27">
        <v>4</v>
      </c>
      <c r="I8" s="27">
        <v>4</v>
      </c>
    </row>
    <row r="9" spans="1:12" x14ac:dyDescent="0.2">
      <c r="A9" s="20"/>
      <c r="B9" s="20"/>
      <c r="C9" s="28">
        <v>3</v>
      </c>
      <c r="D9" s="29">
        <v>5</v>
      </c>
      <c r="E9" s="29">
        <v>6</v>
      </c>
      <c r="F9" s="29">
        <v>4</v>
      </c>
      <c r="G9" s="29">
        <v>3</v>
      </c>
      <c r="H9" s="29">
        <v>6</v>
      </c>
      <c r="I9" s="29">
        <v>7</v>
      </c>
    </row>
    <row r="10" spans="1:12" x14ac:dyDescent="0.2">
      <c r="A10" s="20"/>
      <c r="B10" s="20"/>
      <c r="C10" s="28">
        <v>5</v>
      </c>
      <c r="D10" s="29">
        <v>5</v>
      </c>
      <c r="E10" s="29">
        <v>3</v>
      </c>
      <c r="F10" s="29">
        <v>6</v>
      </c>
      <c r="G10" s="29">
        <v>5</v>
      </c>
      <c r="H10" s="29">
        <v>4</v>
      </c>
      <c r="I10" s="29">
        <v>4</v>
      </c>
    </row>
    <row r="11" spans="1:12" x14ac:dyDescent="0.2">
      <c r="A11" s="20"/>
      <c r="B11" s="20"/>
      <c r="C11" s="28">
        <v>4</v>
      </c>
      <c r="D11" s="29">
        <v>6</v>
      </c>
      <c r="E11" s="29">
        <v>6</v>
      </c>
      <c r="F11" s="29">
        <v>4</v>
      </c>
      <c r="G11" s="29">
        <v>5</v>
      </c>
      <c r="H11" s="29">
        <v>5</v>
      </c>
      <c r="I11" s="29">
        <v>4</v>
      </c>
    </row>
    <row r="15" spans="1:12" x14ac:dyDescent="0.2">
      <c r="A15" t="s">
        <v>192</v>
      </c>
      <c r="B15" s="16" t="s">
        <v>188</v>
      </c>
      <c r="C15" s="16" t="s">
        <v>189</v>
      </c>
      <c r="D15" s="16" t="s">
        <v>190</v>
      </c>
      <c r="E15" s="16" t="s">
        <v>146</v>
      </c>
      <c r="F15" s="16" t="s">
        <v>191</v>
      </c>
      <c r="G15" s="16" t="s">
        <v>126</v>
      </c>
      <c r="H15" s="16" t="s">
        <v>124</v>
      </c>
      <c r="J15" t="s">
        <v>138</v>
      </c>
      <c r="L15" t="s">
        <v>201</v>
      </c>
    </row>
    <row r="16" spans="1:12" x14ac:dyDescent="0.2">
      <c r="A16" t="s">
        <v>193</v>
      </c>
      <c r="B16" s="30" t="s">
        <v>196</v>
      </c>
      <c r="C16" s="30" t="s">
        <v>197</v>
      </c>
      <c r="D16" s="30" t="s">
        <v>197</v>
      </c>
      <c r="E16" s="30" t="s">
        <v>198</v>
      </c>
      <c r="F16" s="30" t="s">
        <v>196</v>
      </c>
      <c r="G16" s="30" t="s">
        <v>197</v>
      </c>
      <c r="H16" s="30" t="s">
        <v>197</v>
      </c>
      <c r="J16" t="s">
        <v>154</v>
      </c>
      <c r="L16" t="s">
        <v>199</v>
      </c>
    </row>
    <row r="17" spans="1:12" x14ac:dyDescent="0.2">
      <c r="A17" t="s">
        <v>194</v>
      </c>
      <c r="B17" s="16" t="s">
        <v>197</v>
      </c>
      <c r="C17" s="16" t="s">
        <v>198</v>
      </c>
      <c r="D17" s="16" t="s">
        <v>197</v>
      </c>
      <c r="E17" s="16" t="s">
        <v>197</v>
      </c>
      <c r="F17" s="16" t="s">
        <v>198</v>
      </c>
      <c r="G17" s="16" t="s">
        <v>196</v>
      </c>
      <c r="H17" s="16" t="s">
        <v>202</v>
      </c>
      <c r="J17" t="s">
        <v>155</v>
      </c>
      <c r="L17" t="s">
        <v>200</v>
      </c>
    </row>
    <row r="18" spans="1:12" x14ac:dyDescent="0.2">
      <c r="A18" t="s">
        <v>195</v>
      </c>
      <c r="B18" s="16" t="s">
        <v>198</v>
      </c>
      <c r="C18" s="16" t="s">
        <v>197</v>
      </c>
      <c r="D18" s="16" t="s">
        <v>197</v>
      </c>
      <c r="E18" s="16" t="s">
        <v>198</v>
      </c>
      <c r="F18" s="16" t="s">
        <v>197</v>
      </c>
      <c r="G18" s="16" t="s">
        <v>196</v>
      </c>
      <c r="H18" s="16" t="s">
        <v>198</v>
      </c>
      <c r="J18" t="s">
        <v>156</v>
      </c>
      <c r="L18" t="s">
        <v>161</v>
      </c>
    </row>
    <row r="19" spans="1:12" x14ac:dyDescent="0.2">
      <c r="A19" t="s">
        <v>156</v>
      </c>
      <c r="B19" s="16" t="s">
        <v>197</v>
      </c>
      <c r="C19" s="16" t="s">
        <v>196</v>
      </c>
      <c r="D19" s="16" t="s">
        <v>196</v>
      </c>
      <c r="E19" s="16" t="s">
        <v>198</v>
      </c>
      <c r="F19" s="16" t="s">
        <v>198</v>
      </c>
      <c r="G19" s="16" t="s">
        <v>196</v>
      </c>
      <c r="H19" s="16" t="s">
        <v>202</v>
      </c>
    </row>
    <row r="20" spans="1:12" x14ac:dyDescent="0.2">
      <c r="J20" t="s">
        <v>203</v>
      </c>
      <c r="L20" t="s">
        <v>204</v>
      </c>
    </row>
  </sheetData>
  <mergeCells count="1">
    <mergeCell ref="B7:C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D7B80-3595-CB4B-B56B-C4DEC5895CBA}">
  <dimension ref="A1:E58"/>
  <sheetViews>
    <sheetView tabSelected="1" topLeftCell="A2" workbookViewId="0">
      <selection activeCell="H15" sqref="H15"/>
    </sheetView>
  </sheetViews>
  <sheetFormatPr baseColWidth="10" defaultRowHeight="16" x14ac:dyDescent="0.2"/>
  <cols>
    <col min="1" max="1" width="13" bestFit="1" customWidth="1"/>
    <col min="2" max="2" width="2" customWidth="1"/>
    <col min="4" max="4" width="1.1640625" customWidth="1"/>
    <col min="5" max="5" width="14.6640625" bestFit="1" customWidth="1"/>
  </cols>
  <sheetData>
    <row r="1" spans="1:5" ht="32" x14ac:dyDescent="0.4">
      <c r="A1" s="38" t="s">
        <v>205</v>
      </c>
      <c r="B1" s="38"/>
      <c r="C1" s="38"/>
      <c r="D1" s="38"/>
      <c r="E1" s="38"/>
    </row>
    <row r="2" spans="1:5" ht="24" x14ac:dyDescent="0.3">
      <c r="A2" s="37" t="s">
        <v>206</v>
      </c>
      <c r="B2" s="37"/>
      <c r="C2" s="37" t="s">
        <v>207</v>
      </c>
      <c r="D2" s="37"/>
      <c r="E2" s="37" t="s">
        <v>208</v>
      </c>
    </row>
    <row r="3" spans="1:5" x14ac:dyDescent="0.2">
      <c r="A3" t="s">
        <v>211</v>
      </c>
      <c r="C3" t="s">
        <v>234</v>
      </c>
    </row>
    <row r="4" spans="1:5" x14ac:dyDescent="0.2">
      <c r="A4" t="s">
        <v>214</v>
      </c>
      <c r="C4" t="s">
        <v>217</v>
      </c>
    </row>
    <row r="5" spans="1:5" x14ac:dyDescent="0.2">
      <c r="A5" t="s">
        <v>213</v>
      </c>
      <c r="C5" t="s">
        <v>222</v>
      </c>
    </row>
    <row r="6" spans="1:5" x14ac:dyDescent="0.2">
      <c r="A6" t="s">
        <v>224</v>
      </c>
      <c r="C6" t="s">
        <v>218</v>
      </c>
    </row>
    <row r="7" spans="1:5" x14ac:dyDescent="0.2">
      <c r="A7" t="s">
        <v>223</v>
      </c>
      <c r="C7" t="s">
        <v>220</v>
      </c>
    </row>
    <row r="8" spans="1:5" x14ac:dyDescent="0.2">
      <c r="A8" t="s">
        <v>210</v>
      </c>
      <c r="C8" t="s">
        <v>219</v>
      </c>
    </row>
    <row r="9" spans="1:5" x14ac:dyDescent="0.2">
      <c r="A9" t="s">
        <v>305</v>
      </c>
      <c r="C9" t="s">
        <v>226</v>
      </c>
    </row>
    <row r="10" spans="1:5" x14ac:dyDescent="0.2">
      <c r="A10" t="s">
        <v>212</v>
      </c>
      <c r="C10" t="s">
        <v>225</v>
      </c>
    </row>
    <row r="11" spans="1:5" x14ac:dyDescent="0.2">
      <c r="A11" t="s">
        <v>247</v>
      </c>
      <c r="C11" t="s">
        <v>227</v>
      </c>
    </row>
    <row r="12" spans="1:5" x14ac:dyDescent="0.2">
      <c r="A12" t="s">
        <v>248</v>
      </c>
      <c r="C12" t="s">
        <v>229</v>
      </c>
    </row>
    <row r="13" spans="1:5" x14ac:dyDescent="0.2">
      <c r="A13" t="s">
        <v>307</v>
      </c>
      <c r="C13" t="s">
        <v>228</v>
      </c>
    </row>
    <row r="14" spans="1:5" x14ac:dyDescent="0.2">
      <c r="A14" t="s">
        <v>306</v>
      </c>
      <c r="C14" t="s">
        <v>249</v>
      </c>
    </row>
    <row r="15" spans="1:5" x14ac:dyDescent="0.2">
      <c r="A15" t="s">
        <v>244</v>
      </c>
      <c r="C15" t="s">
        <v>250</v>
      </c>
    </row>
    <row r="16" spans="1:5" x14ac:dyDescent="0.2">
      <c r="A16" t="s">
        <v>245</v>
      </c>
      <c r="C16" t="s">
        <v>231</v>
      </c>
    </row>
    <row r="17" spans="1:3" x14ac:dyDescent="0.2">
      <c r="A17" t="s">
        <v>242</v>
      </c>
      <c r="C17" t="s">
        <v>232</v>
      </c>
    </row>
    <row r="18" spans="1:3" x14ac:dyDescent="0.2">
      <c r="A18" t="s">
        <v>246</v>
      </c>
      <c r="C18" t="s">
        <v>230</v>
      </c>
    </row>
    <row r="19" spans="1:3" x14ac:dyDescent="0.2">
      <c r="A19" t="s">
        <v>243</v>
      </c>
      <c r="C19" t="s">
        <v>221</v>
      </c>
    </row>
    <row r="20" spans="1:3" x14ac:dyDescent="0.2">
      <c r="A20" t="s">
        <v>252</v>
      </c>
      <c r="C20" t="s">
        <v>257</v>
      </c>
    </row>
    <row r="21" spans="1:3" x14ac:dyDescent="0.2">
      <c r="A21" t="s">
        <v>253</v>
      </c>
      <c r="C21" t="s">
        <v>233</v>
      </c>
    </row>
    <row r="22" spans="1:3" x14ac:dyDescent="0.2">
      <c r="A22" t="s">
        <v>251</v>
      </c>
      <c r="C22" t="s">
        <v>216</v>
      </c>
    </row>
    <row r="23" spans="1:3" x14ac:dyDescent="0.2">
      <c r="A23" t="s">
        <v>254</v>
      </c>
      <c r="C23" t="s">
        <v>236</v>
      </c>
    </row>
    <row r="24" spans="1:3" x14ac:dyDescent="0.2">
      <c r="A24" t="s">
        <v>256</v>
      </c>
      <c r="C24" t="s">
        <v>215</v>
      </c>
    </row>
    <row r="25" spans="1:3" x14ac:dyDescent="0.2">
      <c r="A25" t="s">
        <v>255</v>
      </c>
      <c r="C25" t="s">
        <v>239</v>
      </c>
    </row>
    <row r="26" spans="1:3" x14ac:dyDescent="0.2">
      <c r="A26" t="s">
        <v>286</v>
      </c>
      <c r="C26" t="s">
        <v>238</v>
      </c>
    </row>
    <row r="27" spans="1:3" x14ac:dyDescent="0.2">
      <c r="A27" t="s">
        <v>284</v>
      </c>
      <c r="C27" t="s">
        <v>301</v>
      </c>
    </row>
    <row r="28" spans="1:3" x14ac:dyDescent="0.2">
      <c r="A28" t="s">
        <v>285</v>
      </c>
      <c r="C28" t="s">
        <v>300</v>
      </c>
    </row>
    <row r="29" spans="1:3" x14ac:dyDescent="0.2">
      <c r="A29" t="s">
        <v>308</v>
      </c>
      <c r="C29" t="s">
        <v>240</v>
      </c>
    </row>
    <row r="30" spans="1:3" x14ac:dyDescent="0.2">
      <c r="A30" t="s">
        <v>309</v>
      </c>
      <c r="C30" t="s">
        <v>241</v>
      </c>
    </row>
    <row r="31" spans="1:3" x14ac:dyDescent="0.2">
      <c r="A31" t="s">
        <v>302</v>
      </c>
      <c r="C31" t="s">
        <v>260</v>
      </c>
    </row>
    <row r="32" spans="1:3" x14ac:dyDescent="0.2">
      <c r="A32" t="s">
        <v>304</v>
      </c>
      <c r="C32" t="s">
        <v>258</v>
      </c>
    </row>
    <row r="33" spans="1:3" x14ac:dyDescent="0.2">
      <c r="A33" t="s">
        <v>265</v>
      </c>
      <c r="C33" t="s">
        <v>259</v>
      </c>
    </row>
    <row r="34" spans="1:3" x14ac:dyDescent="0.2">
      <c r="A34" t="s">
        <v>266</v>
      </c>
      <c r="C34" t="s">
        <v>272</v>
      </c>
    </row>
    <row r="35" spans="1:3" x14ac:dyDescent="0.2">
      <c r="A35" t="s">
        <v>261</v>
      </c>
      <c r="C35" t="s">
        <v>271</v>
      </c>
    </row>
    <row r="36" spans="1:3" x14ac:dyDescent="0.2">
      <c r="A36" t="s">
        <v>262</v>
      </c>
      <c r="C36" t="s">
        <v>273</v>
      </c>
    </row>
    <row r="37" spans="1:3" x14ac:dyDescent="0.2">
      <c r="A37" t="s">
        <v>263</v>
      </c>
      <c r="C37" t="s">
        <v>274</v>
      </c>
    </row>
    <row r="38" spans="1:3" x14ac:dyDescent="0.2">
      <c r="A38" t="s">
        <v>264</v>
      </c>
      <c r="C38" t="s">
        <v>277</v>
      </c>
    </row>
    <row r="39" spans="1:3" x14ac:dyDescent="0.2">
      <c r="A39" t="s">
        <v>267</v>
      </c>
      <c r="C39" t="s">
        <v>275</v>
      </c>
    </row>
    <row r="40" spans="1:3" x14ac:dyDescent="0.2">
      <c r="A40" t="s">
        <v>268</v>
      </c>
      <c r="C40" t="s">
        <v>276</v>
      </c>
    </row>
    <row r="41" spans="1:3" x14ac:dyDescent="0.2">
      <c r="A41" t="s">
        <v>270</v>
      </c>
      <c r="C41" t="s">
        <v>280</v>
      </c>
    </row>
    <row r="42" spans="1:3" x14ac:dyDescent="0.2">
      <c r="A42" t="s">
        <v>269</v>
      </c>
      <c r="C42" t="s">
        <v>287</v>
      </c>
    </row>
    <row r="43" spans="1:3" x14ac:dyDescent="0.2">
      <c r="A43" t="s">
        <v>209</v>
      </c>
      <c r="C43" t="s">
        <v>279</v>
      </c>
    </row>
    <row r="44" spans="1:3" x14ac:dyDescent="0.2">
      <c r="A44" t="s">
        <v>281</v>
      </c>
      <c r="C44" t="s">
        <v>278</v>
      </c>
    </row>
    <row r="45" spans="1:3" x14ac:dyDescent="0.2">
      <c r="A45" t="s">
        <v>283</v>
      </c>
      <c r="C45" t="s">
        <v>288</v>
      </c>
    </row>
    <row r="46" spans="1:3" x14ac:dyDescent="0.2">
      <c r="A46" t="s">
        <v>282</v>
      </c>
      <c r="C46" t="s">
        <v>289</v>
      </c>
    </row>
    <row r="47" spans="1:3" x14ac:dyDescent="0.2">
      <c r="A47" t="s">
        <v>303</v>
      </c>
      <c r="C47" t="s">
        <v>292</v>
      </c>
    </row>
    <row r="48" spans="1:3" x14ac:dyDescent="0.2">
      <c r="C48" t="s">
        <v>293</v>
      </c>
    </row>
    <row r="49" spans="3:3" x14ac:dyDescent="0.2">
      <c r="C49" t="s">
        <v>290</v>
      </c>
    </row>
    <row r="50" spans="3:3" x14ac:dyDescent="0.2">
      <c r="C50" t="s">
        <v>291</v>
      </c>
    </row>
    <row r="51" spans="3:3" x14ac:dyDescent="0.2">
      <c r="C51" t="s">
        <v>237</v>
      </c>
    </row>
    <row r="52" spans="3:3" x14ac:dyDescent="0.2">
      <c r="C52" t="s">
        <v>296</v>
      </c>
    </row>
    <row r="53" spans="3:3" x14ac:dyDescent="0.2">
      <c r="C53" t="s">
        <v>294</v>
      </c>
    </row>
    <row r="54" spans="3:3" x14ac:dyDescent="0.2">
      <c r="C54" t="s">
        <v>295</v>
      </c>
    </row>
    <row r="55" spans="3:3" x14ac:dyDescent="0.2">
      <c r="C55" t="s">
        <v>297</v>
      </c>
    </row>
    <row r="56" spans="3:3" x14ac:dyDescent="0.2">
      <c r="C56" t="s">
        <v>298</v>
      </c>
    </row>
    <row r="57" spans="3:3" x14ac:dyDescent="0.2">
      <c r="C57" t="s">
        <v>299</v>
      </c>
    </row>
    <row r="58" spans="3:3" x14ac:dyDescent="0.2">
      <c r="C58" t="s">
        <v>235</v>
      </c>
    </row>
  </sheetData>
  <sortState xmlns:xlrd2="http://schemas.microsoft.com/office/spreadsheetml/2017/richdata2" ref="C3:C58">
    <sortCondition ref="C3:C58"/>
  </sortState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weapons</vt:lpstr>
      <vt:lpstr>mobs</vt:lpstr>
      <vt:lpstr>leveling</vt:lpstr>
      <vt:lpstr>level testing</vt:lpstr>
      <vt:lpstr>alpha level to 20</vt:lpstr>
      <vt:lpstr>Stat gains per class</vt:lpstr>
      <vt:lpstr>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 Santiago</dc:creator>
  <cp:lastModifiedBy>Carlos A Santiago</cp:lastModifiedBy>
  <dcterms:created xsi:type="dcterms:W3CDTF">2026-04-24T19:49:37Z</dcterms:created>
  <dcterms:modified xsi:type="dcterms:W3CDTF">2026-05-20T14:10:12Z</dcterms:modified>
</cp:coreProperties>
</file>